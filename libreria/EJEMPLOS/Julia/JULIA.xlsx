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NTIGRAVITY\2026\RJ2XCL\RJ2XCL\EjemplosXCL\"/>
    </mc:Choice>
  </mc:AlternateContent>
  <xr:revisionPtr revIDLastSave="0" documentId="13_ncr:1_{C8FEC217-F55C-454E-A918-B555A4C5AB9C}" xr6:coauthVersionLast="47" xr6:coauthVersionMax="47" xr10:uidLastSave="{00000000-0000-0000-0000-000000000000}"/>
  <bookViews>
    <workbookView xWindow="-96" yWindow="-96" windowWidth="20928" windowHeight="12432" firstSheet="3" activeTab="7" xr2:uid="{C9E4698B-61C1-435D-92D8-FE7215207820}"/>
  </bookViews>
  <sheets>
    <sheet name="1.1 Utilidades" sheetId="1" r:id="rId1"/>
    <sheet name="1.2 Algebra lineal" sheetId="2" r:id="rId2"/>
    <sheet name="1.3 Cálculo numérico" sheetId="3" r:id="rId3"/>
    <sheet name="1.4 Ecuaciones diferenciales" sheetId="4" r:id="rId4"/>
    <sheet name="1.5 Estadística Descriptiva" sheetId="5" r:id="rId5"/>
    <sheet name="1.6 KNN" sheetId="6" r:id="rId6"/>
    <sheet name="1.7 K-Medias" sheetId="7" r:id="rId7"/>
    <sheet name="1.8 Optimización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6" l="1" a="1"/>
  <c r="I3" i="6" s="1"/>
  <c r="G3" i="6" a="1"/>
  <c r="G3" i="6" s="1"/>
  <c r="F1" i="6" a="1"/>
  <c r="F1" i="6" s="1"/>
  <c r="F26" i="5" a="1"/>
  <c r="F26" i="5" s="1"/>
  <c r="F22" i="5" a="1"/>
  <c r="F22" i="5" s="1"/>
  <c r="A6" i="2" a="1"/>
  <c r="A6" i="2" s="1"/>
  <c r="E2" i="1" a="1"/>
  <c r="E2" i="1" s="1"/>
  <c r="D2" i="1" a="1"/>
  <c r="D2" i="1" s="1"/>
  <c r="C2" i="1" a="1"/>
  <c r="C2" i="1" s="1"/>
  <c r="B23" i="8" a="1"/>
  <c r="B23" i="8" s="1"/>
  <c r="B31" i="8" a="1"/>
  <c r="B31" i="8" s="1"/>
  <c r="A30" i="8"/>
  <c r="A26" i="8"/>
  <c r="B27" i="8" a="1"/>
  <c r="B27" i="8" s="1"/>
  <c r="A22" i="8"/>
  <c r="A18" i="8"/>
  <c r="B19" i="8" a="1"/>
  <c r="B19" i="8" s="1"/>
  <c r="A14" i="8"/>
  <c r="B15" i="8" a="1"/>
  <c r="B15" i="8" s="1"/>
  <c r="A10" i="8"/>
  <c r="B11" i="8" a="1"/>
  <c r="B11" i="8" s="1"/>
  <c r="A6" i="8"/>
  <c r="B7" i="8" a="1"/>
  <c r="B7" i="8" s="1"/>
  <c r="J8" i="8" a="1"/>
  <c r="J8" i="8" s="1"/>
  <c r="I7" i="8"/>
  <c r="L21" i="6" a="1"/>
  <c r="L21" i="6" s="1"/>
  <c r="L18" i="6" a="1"/>
  <c r="L18" i="6" s="1"/>
  <c r="L10" i="6" a="1"/>
  <c r="L10" i="6" s="1"/>
  <c r="I8" i="7"/>
  <c r="J37" i="7" a="1"/>
  <c r="J37" i="7" s="1"/>
  <c r="I7" i="7"/>
  <c r="J29" i="7" a="1"/>
  <c r="J29" i="7" s="1"/>
  <c r="I5" i="7"/>
  <c r="J26" i="7" a="1"/>
  <c r="J26" i="7" s="1"/>
  <c r="I6" i="7"/>
  <c r="I4" i="7"/>
  <c r="J21" i="7" a="1"/>
  <c r="J21" i="7" s="1"/>
  <c r="I3" i="7"/>
  <c r="G3" i="7" a="1"/>
  <c r="G3" i="7" s="1"/>
  <c r="J13" i="7" a="1"/>
  <c r="J13" i="7" s="1"/>
  <c r="I2" i="7"/>
  <c r="F1" i="7" a="1"/>
  <c r="F1" i="7" s="1"/>
  <c r="K7" i="6"/>
  <c r="K6" i="6"/>
  <c r="K5" i="6"/>
  <c r="K2" i="6"/>
  <c r="E10" i="5"/>
  <c r="E9" i="5"/>
  <c r="F77" i="5" a="1"/>
  <c r="F77" i="5" s="1"/>
  <c r="F66" i="5" a="1"/>
  <c r="F66" i="5" s="1"/>
  <c r="E8" i="5"/>
  <c r="F54" i="5" a="1"/>
  <c r="F54" i="5" s="1"/>
  <c r="F42" i="5" a="1"/>
  <c r="F42" i="5" s="1"/>
  <c r="E7" i="5"/>
  <c r="E6" i="5"/>
  <c r="E5" i="5"/>
  <c r="E4" i="5"/>
  <c r="F36" i="5" a="1"/>
  <c r="F36" i="5" s="1"/>
  <c r="F31" i="5" a="1"/>
  <c r="F31" i="5" s="1"/>
  <c r="E3" i="5"/>
  <c r="F13" i="5" a="1"/>
  <c r="F13" i="5" s="1"/>
  <c r="E2" i="5"/>
  <c r="F2" i="4" a="1"/>
  <c r="F2" i="4" s="1"/>
  <c r="M6" i="4"/>
  <c r="M5" i="4"/>
  <c r="M4" i="4"/>
  <c r="M3" i="4"/>
  <c r="E2" i="4" a="1"/>
  <c r="E2" i="4" s="1"/>
  <c r="M2" i="4"/>
  <c r="K2" i="3" a="1"/>
  <c r="K2" i="3" s="1"/>
  <c r="M9" i="3"/>
  <c r="M6" i="3"/>
  <c r="H2" i="3" a="1"/>
  <c r="H2" i="3" s="1"/>
  <c r="J2" i="3" a="1"/>
  <c r="J2" i="3" s="1"/>
  <c r="I2" i="3" a="1"/>
  <c r="I2" i="3" s="1"/>
  <c r="M8" i="3"/>
  <c r="M7" i="3"/>
  <c r="G2" i="3" a="1"/>
  <c r="G2" i="3" s="1"/>
  <c r="M5" i="3"/>
  <c r="F2" i="3" a="1"/>
  <c r="F2" i="3" s="1"/>
  <c r="M4" i="3"/>
  <c r="E2" i="3" a="1"/>
  <c r="E2" i="3" s="1"/>
  <c r="M3" i="3"/>
  <c r="M2" i="3"/>
  <c r="D2" i="3" a="1"/>
  <c r="D2" i="3" s="1"/>
  <c r="B3" i="3"/>
  <c r="B4" i="3"/>
  <c r="B5" i="3"/>
  <c r="B6" i="3"/>
  <c r="B2" i="3"/>
  <c r="F2" i="1" a="1"/>
  <c r="F2" i="1" s="1"/>
  <c r="B2" i="1" a="1"/>
  <c r="B2" i="1" s="1"/>
  <c r="A2" i="1" a="1"/>
  <c r="A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tc={A5E3A4E5-D51E-4E35-8175-A7B967E4889E}</author>
  </authors>
  <commentList>
    <comment ref="A18" authorId="0" shapeId="0" xr:uid="{A5E3A4E5-D51E-4E35-8175-A7B967E488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encontrar mínimo de f(x)=x² en un intervalo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<sst xmlns="http://schemas.openxmlformats.org/spreadsheetml/2006/main" count="417" uniqueCount="94">
  <si>
    <t>Parametro Output</t>
  </si>
  <si>
    <t>MIN</t>
  </si>
  <si>
    <t>MAX</t>
  </si>
  <si>
    <t>MU</t>
  </si>
  <si>
    <t>SIGMA</t>
  </si>
  <si>
    <t>MU_0</t>
  </si>
  <si>
    <t>SIGMA_1</t>
  </si>
  <si>
    <t>TipoOutput</t>
  </si>
  <si>
    <t>INCREMENTO</t>
  </si>
  <si>
    <t>TipoOutput2</t>
  </si>
  <si>
    <t>TipoOutput3</t>
  </si>
  <si>
    <t>TipoOutput4</t>
  </si>
  <si>
    <t>Lista de procedimientos</t>
  </si>
  <si>
    <t>Fecha y hora actual</t>
  </si>
  <si>
    <t xml:space="preserve">	Secuencia de 1 a 100</t>
  </si>
  <si>
    <t>50 aleatorios Normal(0,1)</t>
  </si>
  <si>
    <t>H2 aleatorios Normal(media=H7, sd=H8)</t>
  </si>
  <si>
    <t>PARAMETROS</t>
  </si>
  <si>
    <t>H2 aleatorios Uniforme (media=H7, sd=H8)</t>
  </si>
  <si>
    <t>Unif_1</t>
  </si>
  <si>
    <t>Unif_2</t>
  </si>
  <si>
    <t>Derivada numérica</t>
  </si>
  <si>
    <t>x</t>
  </si>
  <si>
    <t xml:space="preserve">	y = x²</t>
  </si>
  <si>
    <t>Integral (Trapecio)</t>
  </si>
  <si>
    <t>Integral (Simpson)</t>
  </si>
  <si>
    <t>Interpolacion lineal en x=2.5</t>
  </si>
  <si>
    <t>Interpolacion Lagrange en x=2.5</t>
  </si>
  <si>
    <t>f(x)</t>
  </si>
  <si>
    <t>TOLERANCIA</t>
  </si>
  <si>
    <t xml:space="preserve">Biseccion </t>
  </si>
  <si>
    <t>Serie de Taylor</t>
  </si>
  <si>
    <t>Coeficientes</t>
  </si>
  <si>
    <t>TIEMPO</t>
  </si>
  <si>
    <t>CONDICION</t>
  </si>
  <si>
    <t>INI</t>
  </si>
  <si>
    <t>FIN</t>
  </si>
  <si>
    <t>paso h</t>
  </si>
  <si>
    <t>Euler explicito</t>
  </si>
  <si>
    <t>Runge-Kutta</t>
  </si>
  <si>
    <t>Oscilador armonico</t>
  </si>
  <si>
    <t>EDO 2do orden y''+y=0</t>
  </si>
  <si>
    <t>A (Edad)</t>
  </si>
  <si>
    <t>B (Peso)</t>
  </si>
  <si>
    <t>C (Altura)</t>
  </si>
  <si>
    <t>Estadistica Descriptiva</t>
  </si>
  <si>
    <t>Correlacion</t>
  </si>
  <si>
    <t>Covarianza</t>
  </si>
  <si>
    <t>Test T de Student</t>
  </si>
  <si>
    <t>Normalizacion MinMax</t>
  </si>
  <si>
    <t>Estandarizacion Z-Score (media=0, std=1)</t>
  </si>
  <si>
    <t>Percentiles</t>
  </si>
  <si>
    <t>Deteccion de outliers</t>
  </si>
  <si>
    <t>sepal.length</t>
  </si>
  <si>
    <t>sepal.width</t>
  </si>
  <si>
    <t>petal.length</t>
  </si>
  <si>
    <t>petal.width</t>
  </si>
  <si>
    <t>variety</t>
  </si>
  <si>
    <t>Setosa</t>
  </si>
  <si>
    <t>Versicolor</t>
  </si>
  <si>
    <t>Virginica</t>
  </si>
  <si>
    <t>KNN</t>
  </si>
  <si>
    <t>Regresion Lineal</t>
  </si>
  <si>
    <t>Resultado K-Means</t>
  </si>
  <si>
    <t>Centros</t>
  </si>
  <si>
    <t>SEMILLA</t>
  </si>
  <si>
    <t>q-CENTROIDES</t>
  </si>
  <si>
    <t>WCSS (Within-Cluster Sum of Square</t>
  </si>
  <si>
    <t xml:space="preserve">Metodo del codo (K=1..6) </t>
  </si>
  <si>
    <t>k-Codo</t>
  </si>
  <si>
    <t>Descriptivas por cluster (media y std)</t>
  </si>
  <si>
    <t>qVecinos</t>
  </si>
  <si>
    <t>Precision, Recall y F1 por clase</t>
  </si>
  <si>
    <t>Matriz de confusion</t>
  </si>
  <si>
    <t>Tabla real vs predicho</t>
  </si>
  <si>
    <t>Distancia al vecino mas cercano</t>
  </si>
  <si>
    <t>Min: 0.5x'Ax-b'x</t>
  </si>
  <si>
    <t>B</t>
  </si>
  <si>
    <t>A</t>
  </si>
  <si>
    <t>Descenso Gradiente</t>
  </si>
  <si>
    <t>Gradiente con Momentum</t>
  </si>
  <si>
    <t>Metodo Newton</t>
  </si>
  <si>
    <t>Seccion Aurea 1D</t>
  </si>
  <si>
    <t>Simplex (Prog. Lineal)</t>
  </si>
  <si>
    <t>Programación Cuadrática</t>
  </si>
  <si>
    <t>Lista de Procedimientos</t>
  </si>
  <si>
    <t>ITERACIONES</t>
  </si>
  <si>
    <t xml:space="preserve">Minimos Cuadrados No Negativos </t>
  </si>
  <si>
    <t>OJO</t>
  </si>
  <si>
    <t>MINIMO AUREA</t>
  </si>
  <si>
    <t>NO USAR</t>
  </si>
  <si>
    <t>C</t>
  </si>
  <si>
    <t>F_MAX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</si>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</sst>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2" formatCode="0.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Consolas"/>
      <family val="3"/>
    </font>
    <font>
      <sz val="11"/>
      <color theme="1"/>
      <name val="Aptos Narrow"/>
      <family val="2"/>
      <scheme val="minor"/>
    </font>
    <font>
      <sz val="4"/>
      <color rgb="FFD7BA7D"/>
      <name val="Consolas"/>
      <family val="3"/>
    </font>
    <font>
      <sz val="12"/>
      <color rgb="FFFFC000"/>
      <name val="Segoe UI"/>
      <family val="2"/>
    </font>
    <font>
      <sz val="11"/>
      <color theme="4"/>
      <name val="Aptos Narrow"/>
      <family val="2"/>
      <scheme val="minor"/>
    </font>
    <font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Continuous" vertical="center" wrapText="1"/>
    </xf>
    <xf numFmtId="0" fontId="0" fillId="0" borderId="1" xfId="0" applyBorder="1" applyAlignment="1">
      <alignment horizontal="center"/>
    </xf>
    <xf numFmtId="43" fontId="0" fillId="4" borderId="1" xfId="1" applyFont="1" applyFill="1" applyBorder="1"/>
    <xf numFmtId="43" fontId="0" fillId="4" borderId="1" xfId="1" applyFont="1" applyFill="1" applyBorder="1" applyAlignment="1">
      <alignment vertical="center"/>
    </xf>
    <xf numFmtId="0" fontId="0" fillId="4" borderId="0" xfId="0" applyFill="1"/>
    <xf numFmtId="0" fontId="0" fillId="4" borderId="1" xfId="0" applyFill="1" applyBorder="1"/>
    <xf numFmtId="43" fontId="0" fillId="4" borderId="1" xfId="1" applyFont="1" applyFill="1" applyBorder="1" applyAlignment="1">
      <alignment horizontal="center"/>
    </xf>
    <xf numFmtId="43" fontId="0" fillId="4" borderId="1" xfId="1" applyFont="1" applyFill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0" fillId="0" borderId="0" xfId="1" applyFont="1" applyFill="1"/>
    <xf numFmtId="0" fontId="4" fillId="0" borderId="0" xfId="0" applyFont="1" applyFill="1" applyAlignment="1">
      <alignment horizontal="left" vertical="center" wrapText="1"/>
    </xf>
    <xf numFmtId="0" fontId="5" fillId="5" borderId="1" xfId="0" applyFont="1" applyFill="1" applyBorder="1" applyAlignment="1">
      <alignment horizontal="center"/>
    </xf>
    <xf numFmtId="0" fontId="0" fillId="5" borderId="1" xfId="0" applyFill="1" applyBorder="1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172" fontId="0" fillId="4" borderId="1" xfId="0" applyNumberFormat="1" applyFill="1" applyBorder="1"/>
    <xf numFmtId="172" fontId="0" fillId="0" borderId="0" xfId="0" applyNumberFormat="1" applyFill="1" applyBorder="1"/>
    <xf numFmtId="0" fontId="0" fillId="5" borderId="2" xfId="0" applyFill="1" applyBorder="1"/>
    <xf numFmtId="0" fontId="5" fillId="5" borderId="2" xfId="0" applyFont="1" applyFill="1" applyBorder="1" applyAlignment="1">
      <alignment horizontal="center"/>
    </xf>
    <xf numFmtId="0" fontId="0" fillId="0" borderId="0" xfId="0" applyFill="1" applyBorder="1"/>
    <xf numFmtId="0" fontId="5" fillId="0" borderId="0" xfId="0" applyFont="1" applyFill="1" applyBorder="1" applyAlignment="1">
      <alignment horizontal="center"/>
    </xf>
    <xf numFmtId="0" fontId="0" fillId="0" borderId="0" xfId="0" applyAlignment="1">
      <alignment horizontal="centerContinuous"/>
    </xf>
    <xf numFmtId="0" fontId="0" fillId="4" borderId="3" xfId="0" applyFill="1" applyBorder="1"/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0" borderId="3" xfId="0" applyBorder="1" applyAlignment="1">
      <alignment horizontal="centerContinuous"/>
    </xf>
    <xf numFmtId="0" fontId="0" fillId="0" borderId="10" xfId="0" applyBorder="1" applyAlignment="1">
      <alignment horizontal="centerContinuous"/>
    </xf>
    <xf numFmtId="0" fontId="5" fillId="5" borderId="8" xfId="0" applyFont="1" applyFill="1" applyBorder="1" applyAlignment="1">
      <alignment horizontal="center"/>
    </xf>
    <xf numFmtId="0" fontId="0" fillId="5" borderId="1" xfId="0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369570</xdr:colOff>
      <xdr:row>20</xdr:row>
      <xdr:rowOff>175260</xdr:rowOff>
    </xdr:from>
    <xdr:to>
      <xdr:col>5</xdr:col>
      <xdr:colOff>1805940</xdr:colOff>
      <xdr:row>24</xdr:row>
      <xdr:rowOff>68580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CD4D790A-C561-DDE4-6725-F4A1207A1D84}"/>
            </a:ext>
          </a:extLst>
        </xdr:cNvPr>
        <xdr:cNvSpPr txBox="1"/>
      </xdr:nvSpPr>
      <xdr:spPr>
        <a:xfrm>
          <a:off x="4556760" y="4358640"/>
          <a:ext cx="3021330" cy="6743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Problema: Maximizar 5x₁ + 4x₂ sujeto a:</a:t>
          </a:r>
        </a:p>
        <a:p>
          <a:pPr algn="ctr"/>
          <a:r>
            <a:rPr lang="es-C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6x₁ + 4x₂ ≤ 24 (restriccion de recurso 1)</a:t>
          </a:r>
        </a:p>
        <a:p>
          <a:pPr algn="ctr"/>
          <a:r>
            <a:rPr lang="es-C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x₁ + 2x₂ ≤ 6 (restriccion de recurso 2)</a:t>
          </a:r>
        </a:p>
        <a:p>
          <a:pPr algn="ctr"/>
          <a:r>
            <a:rPr lang="es-C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x₁, x₂ ≥ 0</a:t>
          </a:r>
        </a:p>
        <a:p>
          <a:pPr algn="ctr"/>
          <a:endParaRPr lang="es-CR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inor Bonilla" id="{DDB6581B-A6CB-4AD8-8245-ACF027FB1A2C}" userId="S::mbonilla@grupomontecristo.com::f7803105-652b-4147-9678-957383b03f0a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8" dT="2026-04-28T21:11:45.62" personId="{DDB6581B-A6CB-4AD8-8245-ACF027FB1A2C}" id="{A5E3A4E5-D51E-4E35-8175-A7B967E4889E}">
    <text xml:space="preserve">encontrar mínimo de f(x)=x² en un intervalo
</text>
  </threadedComment>
</ThreadedComment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6FE85-219E-44DC-B752-96ACD048926D}">
  <dimension ref="A1:I26"/>
  <sheetViews>
    <sheetView workbookViewId="0">
      <selection activeCell="F2" sqref="F2"/>
    </sheetView>
  </sheetViews>
  <sheetFormatPr baseColWidth="10" defaultColWidth="0" defaultRowHeight="14.4" x14ac:dyDescent="0.55000000000000004"/>
  <cols>
    <col min="1" max="9" width="17.734375" customWidth="1"/>
    <col min="10" max="16384" width="17.734375" hidden="1"/>
  </cols>
  <sheetData>
    <row r="1" spans="1:9" s="3" customFormat="1" ht="69.599999999999994" x14ac:dyDescent="0.55000000000000004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18</v>
      </c>
      <c r="G1" s="5"/>
      <c r="H1" s="4"/>
      <c r="I1" s="4" t="s">
        <v>17</v>
      </c>
    </row>
    <row r="2" spans="1:9" x14ac:dyDescent="0.55000000000000004">
      <c r="A2" t="str" cm="1">
        <f t="array" ref="A2:A6">_xll.J.Utilidades(0,0,0,0)</f>
        <v>[01] Fecha y hora</v>
      </c>
      <c r="B2" t="str" cm="1">
        <f t="array" ref="B2">_xll.J.Utilidades(0,0,0,1)</f>
        <v>2026-04-27T21:47:46.761</v>
      </c>
      <c r="C2" cm="1">
        <f t="array" ref="C2:C26">_xll.J.Utilidades($I$2,$I$3,$I$4,$I$11)</f>
        <v>1</v>
      </c>
      <c r="D2" cm="1">
        <f t="array" ref="D2:D26">_xll.J.Utilidades($I$3,$I$5,$I$6,$I$12)</f>
        <v>-0.70370989860596378</v>
      </c>
      <c r="E2" cm="1">
        <f t="array" ref="E2:E26">_xll.J.Utilidades($I$3,$I$7,$I$8,$I$12)</f>
        <v>8.3500463511276379</v>
      </c>
      <c r="F2" cm="1">
        <f t="array" ref="F2:F26">_xll.J.Utilidades($I$3,$I$9,$I$10,$I$13)</f>
        <v>5.9423387260983285</v>
      </c>
      <c r="H2" t="s">
        <v>1</v>
      </c>
      <c r="I2">
        <v>1</v>
      </c>
    </row>
    <row r="3" spans="1:9" x14ac:dyDescent="0.55000000000000004">
      <c r="A3" t="str">
        <v>[02] Secuencia numerica</v>
      </c>
      <c r="C3">
        <v>2</v>
      </c>
      <c r="D3">
        <v>1.5481490004715497</v>
      </c>
      <c r="E3">
        <v>21.92412773186296</v>
      </c>
      <c r="F3">
        <v>9.8659804081899978</v>
      </c>
      <c r="H3" t="s">
        <v>2</v>
      </c>
      <c r="I3">
        <v>25</v>
      </c>
    </row>
    <row r="4" spans="1:9" x14ac:dyDescent="0.55000000000000004">
      <c r="A4" t="str">
        <v>[03] Aleatorios Normal</v>
      </c>
      <c r="C4">
        <v>3</v>
      </c>
      <c r="D4">
        <v>-6.1096966349525987E-3</v>
      </c>
      <c r="E4">
        <v>11.971433833231348</v>
      </c>
      <c r="F4">
        <v>6.8699515797264619</v>
      </c>
      <c r="H4" t="s">
        <v>8</v>
      </c>
      <c r="I4">
        <v>1</v>
      </c>
    </row>
    <row r="5" spans="1:9" x14ac:dyDescent="0.55000000000000004">
      <c r="A5" t="str">
        <v>[04] Aleatorios Uniforme</v>
      </c>
      <c r="C5">
        <v>4</v>
      </c>
      <c r="D5">
        <v>-1.1806900174467534</v>
      </c>
      <c r="E5">
        <v>12.350367740429695</v>
      </c>
      <c r="F5">
        <v>9.6744822399182802</v>
      </c>
      <c r="H5" t="s">
        <v>5</v>
      </c>
      <c r="I5">
        <v>0</v>
      </c>
    </row>
    <row r="6" spans="1:9" x14ac:dyDescent="0.55000000000000004">
      <c r="A6" t="str">
        <v>[05] Redondear datos</v>
      </c>
      <c r="C6">
        <v>5</v>
      </c>
      <c r="D6">
        <v>0.76819597970052522</v>
      </c>
      <c r="E6">
        <v>10.113541967878483</v>
      </c>
      <c r="F6">
        <v>3.6665652672277496</v>
      </c>
      <c r="H6" t="s">
        <v>6</v>
      </c>
      <c r="I6">
        <v>1</v>
      </c>
    </row>
    <row r="7" spans="1:9" x14ac:dyDescent="0.55000000000000004">
      <c r="C7">
        <v>6</v>
      </c>
      <c r="D7">
        <v>0.75980766880808481</v>
      </c>
      <c r="E7">
        <v>11.78181976754594</v>
      </c>
      <c r="F7">
        <v>4.9047839020600756</v>
      </c>
      <c r="H7" t="s">
        <v>3</v>
      </c>
      <c r="I7">
        <v>10</v>
      </c>
    </row>
    <row r="8" spans="1:9" x14ac:dyDescent="0.55000000000000004">
      <c r="C8">
        <v>7</v>
      </c>
      <c r="D8">
        <v>1.0500585456693619</v>
      </c>
      <c r="E8">
        <v>-2.5793135114009331</v>
      </c>
      <c r="F8">
        <v>0.28737888074409024</v>
      </c>
      <c r="H8" t="s">
        <v>4</v>
      </c>
      <c r="I8">
        <v>5</v>
      </c>
    </row>
    <row r="9" spans="1:9" x14ac:dyDescent="0.55000000000000004">
      <c r="A9" s="1"/>
      <c r="B9" s="1"/>
      <c r="C9">
        <v>8</v>
      </c>
      <c r="D9">
        <v>0.15315297158424948</v>
      </c>
      <c r="E9">
        <v>7.1394186822623338</v>
      </c>
      <c r="F9">
        <v>7.3719873484533514</v>
      </c>
      <c r="H9" t="s">
        <v>19</v>
      </c>
      <c r="I9">
        <v>0</v>
      </c>
    </row>
    <row r="10" spans="1:9" x14ac:dyDescent="0.55000000000000004">
      <c r="C10">
        <v>9</v>
      </c>
      <c r="D10">
        <v>-1.382709386633985</v>
      </c>
      <c r="E10">
        <v>12.072290768377718</v>
      </c>
      <c r="F10">
        <v>3.6096709804224281</v>
      </c>
      <c r="H10" t="s">
        <v>20</v>
      </c>
      <c r="I10">
        <v>10</v>
      </c>
    </row>
    <row r="11" spans="1:9" x14ac:dyDescent="0.55000000000000004">
      <c r="C11">
        <v>10</v>
      </c>
      <c r="D11">
        <v>0.6240979994061111</v>
      </c>
      <c r="E11">
        <v>8.0031612342235015</v>
      </c>
      <c r="F11">
        <v>5.299071014534503</v>
      </c>
      <c r="H11" t="s">
        <v>9</v>
      </c>
      <c r="I11">
        <v>2</v>
      </c>
    </row>
    <row r="12" spans="1:9" x14ac:dyDescent="0.55000000000000004">
      <c r="C12">
        <v>11</v>
      </c>
      <c r="D12">
        <v>0.4726782078360014</v>
      </c>
      <c r="E12">
        <v>4.0157446465772093</v>
      </c>
      <c r="F12">
        <v>2.4445467368774221</v>
      </c>
      <c r="H12" t="s">
        <v>10</v>
      </c>
      <c r="I12">
        <v>3</v>
      </c>
    </row>
    <row r="13" spans="1:9" x14ac:dyDescent="0.55000000000000004">
      <c r="C13">
        <v>12</v>
      </c>
      <c r="D13">
        <v>1.7377731933562457E-2</v>
      </c>
      <c r="E13">
        <v>13.96256528605049</v>
      </c>
      <c r="F13">
        <v>7.7630212452020988</v>
      </c>
      <c r="H13" t="s">
        <v>11</v>
      </c>
      <c r="I13">
        <v>4</v>
      </c>
    </row>
    <row r="14" spans="1:9" x14ac:dyDescent="0.55000000000000004">
      <c r="C14">
        <v>13</v>
      </c>
      <c r="D14">
        <v>1.6533419690786146</v>
      </c>
      <c r="E14">
        <v>18.185285569472473</v>
      </c>
      <c r="F14">
        <v>1.4952142360196508</v>
      </c>
    </row>
    <row r="15" spans="1:9" x14ac:dyDescent="0.55000000000000004">
      <c r="C15">
        <v>14</v>
      </c>
      <c r="D15">
        <v>2.152660556903006</v>
      </c>
      <c r="E15">
        <v>14.944286929774512</v>
      </c>
      <c r="F15">
        <v>9.5849566056811746</v>
      </c>
    </row>
    <row r="16" spans="1:9" x14ac:dyDescent="0.55000000000000004">
      <c r="C16">
        <v>15</v>
      </c>
      <c r="D16">
        <v>0.38782986649874457</v>
      </c>
      <c r="E16">
        <v>10.374234942182092</v>
      </c>
      <c r="F16">
        <v>4.3024543460527482</v>
      </c>
    </row>
    <row r="17" spans="3:6" x14ac:dyDescent="0.55000000000000004">
      <c r="C17">
        <v>16</v>
      </c>
      <c r="D17">
        <v>-1.3771849090603305</v>
      </c>
      <c r="E17">
        <v>10.62096868784784</v>
      </c>
      <c r="F17">
        <v>6.8954138902634812</v>
      </c>
    </row>
    <row r="18" spans="3:6" x14ac:dyDescent="0.55000000000000004">
      <c r="C18">
        <v>17</v>
      </c>
      <c r="D18">
        <v>0.41586989461063922</v>
      </c>
      <c r="E18">
        <v>6.6044063332915606</v>
      </c>
      <c r="F18">
        <v>6.0175758063801617</v>
      </c>
    </row>
    <row r="19" spans="3:6" x14ac:dyDescent="0.55000000000000004">
      <c r="C19">
        <v>18</v>
      </c>
      <c r="D19">
        <v>-1.0748300580140266</v>
      </c>
      <c r="E19">
        <v>10.001659629410851</v>
      </c>
      <c r="F19">
        <v>5.2085915242841407</v>
      </c>
    </row>
    <row r="20" spans="3:6" x14ac:dyDescent="0.55000000000000004">
      <c r="C20">
        <v>19</v>
      </c>
      <c r="D20">
        <v>-0.87125100812903866</v>
      </c>
      <c r="E20">
        <v>6.5254699655874102</v>
      </c>
      <c r="F20">
        <v>2.8547563159936651</v>
      </c>
    </row>
    <row r="21" spans="3:6" x14ac:dyDescent="0.55000000000000004">
      <c r="C21">
        <v>20</v>
      </c>
      <c r="D21">
        <v>-1.0978437435966586</v>
      </c>
      <c r="E21">
        <v>8.0647744629229443</v>
      </c>
      <c r="F21">
        <v>0.98138503041749203</v>
      </c>
    </row>
    <row r="22" spans="3:6" x14ac:dyDescent="0.55000000000000004">
      <c r="C22">
        <v>21</v>
      </c>
      <c r="D22">
        <v>0.49976761261291092</v>
      </c>
      <c r="E22">
        <v>19.391086265321167</v>
      </c>
      <c r="F22">
        <v>0.83393062464975132</v>
      </c>
    </row>
    <row r="23" spans="3:6" x14ac:dyDescent="0.55000000000000004">
      <c r="C23">
        <v>22</v>
      </c>
      <c r="D23">
        <v>-0.75347685546797116</v>
      </c>
      <c r="E23">
        <v>13.692200861892619</v>
      </c>
      <c r="F23">
        <v>9.82670549551184</v>
      </c>
    </row>
    <row r="24" spans="3:6" x14ac:dyDescent="0.55000000000000004">
      <c r="C24">
        <v>23</v>
      </c>
      <c r="D24">
        <v>-4.4318798597164408E-2</v>
      </c>
      <c r="E24">
        <v>14.742297470379633</v>
      </c>
      <c r="F24">
        <v>2.0478717662438708</v>
      </c>
    </row>
    <row r="25" spans="3:6" x14ac:dyDescent="0.55000000000000004">
      <c r="C25">
        <v>24</v>
      </c>
      <c r="D25">
        <v>-0.6471983234123232</v>
      </c>
      <c r="E25">
        <v>10.168696290511695</v>
      </c>
      <c r="F25">
        <v>9.2945100734305548</v>
      </c>
    </row>
    <row r="26" spans="3:6" x14ac:dyDescent="0.55000000000000004">
      <c r="C26">
        <v>25</v>
      </c>
      <c r="D26">
        <v>-1.606636174609039</v>
      </c>
      <c r="E26">
        <v>4.1829665044025699</v>
      </c>
      <c r="F26">
        <v>7.0544583779899437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F6062-AF67-4001-BA75-811F1E7D9592}">
  <dimension ref="A1:B17"/>
  <sheetViews>
    <sheetView workbookViewId="0">
      <selection activeCell="A6" sqref="A6"/>
    </sheetView>
  </sheetViews>
  <sheetFormatPr baseColWidth="10" defaultRowHeight="14.4" x14ac:dyDescent="0.55000000000000004"/>
  <cols>
    <col min="1" max="1" width="27.89453125" bestFit="1" customWidth="1"/>
  </cols>
  <sheetData>
    <row r="1" spans="1:2" x14ac:dyDescent="0.55000000000000004">
      <c r="A1">
        <v>1</v>
      </c>
      <c r="B1">
        <v>2</v>
      </c>
    </row>
    <row r="2" spans="1:2" x14ac:dyDescent="0.55000000000000004">
      <c r="A2">
        <v>3</v>
      </c>
      <c r="B2">
        <v>4</v>
      </c>
    </row>
    <row r="4" spans="1:2" x14ac:dyDescent="0.55000000000000004">
      <c r="A4" t="s">
        <v>0</v>
      </c>
      <c r="B4">
        <v>0</v>
      </c>
    </row>
    <row r="6" spans="1:2" x14ac:dyDescent="0.55000000000000004">
      <c r="A6" t="str" cm="1">
        <f t="array" ref="A6:A17">_xll.J.JM_Algebra($A$1:$B$2,0,$B$4)</f>
        <v>[01] Factorizacion LU</v>
      </c>
    </row>
    <row r="7" spans="1:2" x14ac:dyDescent="0.55000000000000004">
      <c r="A7" t="str">
        <v>[02] Factorizacion QR</v>
      </c>
    </row>
    <row r="8" spans="1:2" x14ac:dyDescent="0.55000000000000004">
      <c r="A8" s="1" t="str">
        <v>[03] Descomposicion SVD</v>
      </c>
    </row>
    <row r="9" spans="1:2" x14ac:dyDescent="0.55000000000000004">
      <c r="A9" t="str">
        <v>[04] Valores Propios</v>
      </c>
    </row>
    <row r="10" spans="1:2" x14ac:dyDescent="0.55000000000000004">
      <c r="A10" t="str">
        <v>[05] Vectores Propios</v>
      </c>
    </row>
    <row r="11" spans="1:2" x14ac:dyDescent="0.55000000000000004">
      <c r="A11" t="str">
        <v>[06] Determinante</v>
      </c>
    </row>
    <row r="12" spans="1:2" x14ac:dyDescent="0.55000000000000004">
      <c r="A12" t="str">
        <v>[07] Rango</v>
      </c>
    </row>
    <row r="13" spans="1:2" x14ac:dyDescent="0.55000000000000004">
      <c r="A13" t="str">
        <v>[08] Normas</v>
      </c>
    </row>
    <row r="14" spans="1:2" x14ac:dyDescent="0.55000000000000004">
      <c r="A14" t="str">
        <v>[09] Numero de Condicion</v>
      </c>
    </row>
    <row r="15" spans="1:2" x14ac:dyDescent="0.55000000000000004">
      <c r="A15" t="str">
        <v>[10] Pseudoinversa Moore-Penrose</v>
      </c>
    </row>
    <row r="16" spans="1:2" x14ac:dyDescent="0.55000000000000004">
      <c r="A16" t="str">
        <v>[11] Traza</v>
      </c>
    </row>
    <row r="17" spans="1:1" x14ac:dyDescent="0.55000000000000004">
      <c r="A17" t="str">
        <v>[12] Resolver Ax=b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8B668-497D-49A7-831E-1B3E4117D791}">
  <dimension ref="A1:N18"/>
  <sheetViews>
    <sheetView workbookViewId="0">
      <selection activeCell="D1" sqref="D1:N11"/>
    </sheetView>
  </sheetViews>
  <sheetFormatPr baseColWidth="10" defaultRowHeight="14.4" x14ac:dyDescent="0.55000000000000004"/>
  <cols>
    <col min="1" max="1" width="10.9453125" style="7"/>
    <col min="2" max="2" width="13.3125" style="7" customWidth="1"/>
    <col min="4" max="4" width="22.05078125" bestFit="1" customWidth="1"/>
    <col min="13" max="13" width="19.3125" bestFit="1" customWidth="1"/>
    <col min="14" max="14" width="11.68359375" bestFit="1" customWidth="1"/>
  </cols>
  <sheetData>
    <row r="1" spans="1:14" s="3" customFormat="1" ht="69.599999999999994" x14ac:dyDescent="0.55000000000000004">
      <c r="A1" s="6" t="s">
        <v>22</v>
      </c>
      <c r="B1" s="6" t="s">
        <v>23</v>
      </c>
      <c r="D1" s="4" t="s">
        <v>12</v>
      </c>
      <c r="E1" s="4" t="s">
        <v>21</v>
      </c>
      <c r="F1" s="4" t="s">
        <v>24</v>
      </c>
      <c r="G1" s="4" t="s">
        <v>25</v>
      </c>
      <c r="H1" s="4" t="s">
        <v>30</v>
      </c>
      <c r="I1" s="4" t="s">
        <v>26</v>
      </c>
      <c r="J1" s="4" t="s">
        <v>27</v>
      </c>
      <c r="K1" s="4" t="s">
        <v>31</v>
      </c>
      <c r="L1" s="5"/>
      <c r="M1" s="4"/>
      <c r="N1" s="4" t="s">
        <v>17</v>
      </c>
    </row>
    <row r="2" spans="1:14" x14ac:dyDescent="0.55000000000000004">
      <c r="A2" s="7">
        <v>0</v>
      </c>
      <c r="B2" s="7">
        <f>A2^2</f>
        <v>0</v>
      </c>
      <c r="D2" t="str" cm="1">
        <f t="array" ref="D2:D8">_xll.J.Calculo($A$2:$A$6,$B$2:$B$6,0,$N$2)</f>
        <v>[01] Derivada numerica</v>
      </c>
      <c r="E2" cm="1">
        <f t="array" ref="E2:E6">_xll.J.Calculo($A$2:$A$6,$B$2:$B$6,0,$N$3)</f>
        <v>1</v>
      </c>
      <c r="F2" cm="1">
        <f t="array" ref="F2">_xll.J.Calculo($A$2:$A$6,$B$2:$B$6,0,$N$4)</f>
        <v>22</v>
      </c>
      <c r="G2" cm="1">
        <f t="array" ref="G2">_xll.J.Calculo($A$2:$A$6,$B$2:$B$6,0,$N$5)</f>
        <v>21.333333333333332</v>
      </c>
      <c r="H2" cm="1">
        <f t="array" ref="H2">_xll.J.Calculo(A11:A12,B11:B12,$N$11,$N$6)</f>
        <v>0.49999999953433871</v>
      </c>
      <c r="I2" cm="1">
        <f t="array" ref="I2">_xll.J.Calculo($A$2:$A$6,$B$2:$B$6,2.5,$N$7)</f>
        <v>6.5</v>
      </c>
      <c r="J2" cm="1">
        <f t="array" ref="J2">_xll.J.Calculo($A$2:$A$6,$B$2:$B$6,2.5,$N$8)</f>
        <v>6.25</v>
      </c>
      <c r="K2" t="str" cm="1">
        <f t="array" ref="K2">_xll.J.Calculo($A$16:$A$16,$B$16:$B$18,1,$N$9)</f>
        <v>julia exception</v>
      </c>
      <c r="M2" t="str">
        <f>D1</f>
        <v>Lista de procedimientos</v>
      </c>
      <c r="N2">
        <v>0</v>
      </c>
    </row>
    <row r="3" spans="1:14" x14ac:dyDescent="0.55000000000000004">
      <c r="A3" s="7">
        <v>1</v>
      </c>
      <c r="B3" s="7">
        <f t="shared" ref="B3:B6" si="0">A3^2</f>
        <v>1</v>
      </c>
      <c r="D3" t="str">
        <v>[02] Integral Trapecio</v>
      </c>
      <c r="E3">
        <v>2</v>
      </c>
      <c r="M3" t="str">
        <f>E1</f>
        <v>Derivada numérica</v>
      </c>
      <c r="N3">
        <v>1</v>
      </c>
    </row>
    <row r="4" spans="1:14" x14ac:dyDescent="0.55000000000000004">
      <c r="A4" s="7">
        <v>2</v>
      </c>
      <c r="B4" s="7">
        <f t="shared" si="0"/>
        <v>4</v>
      </c>
      <c r="D4" t="str">
        <v>[03] Integral Simpson</v>
      </c>
      <c r="E4">
        <v>4</v>
      </c>
      <c r="M4" t="str">
        <f>F1</f>
        <v>Integral (Trapecio)</v>
      </c>
      <c r="N4">
        <v>2</v>
      </c>
    </row>
    <row r="5" spans="1:14" x14ac:dyDescent="0.55000000000000004">
      <c r="A5" s="7">
        <v>3</v>
      </c>
      <c r="B5" s="7">
        <f t="shared" si="0"/>
        <v>9</v>
      </c>
      <c r="D5" t="str">
        <v>[04] Raiz Biseccion</v>
      </c>
      <c r="E5">
        <v>6</v>
      </c>
      <c r="M5" t="str">
        <f>G1</f>
        <v>Integral (Simpson)</v>
      </c>
      <c r="N5">
        <v>3</v>
      </c>
    </row>
    <row r="6" spans="1:14" x14ac:dyDescent="0.55000000000000004">
      <c r="A6" s="7">
        <v>4</v>
      </c>
      <c r="B6" s="7">
        <f t="shared" si="0"/>
        <v>16</v>
      </c>
      <c r="D6" t="str">
        <v>[05] Interpolacion Lineal</v>
      </c>
      <c r="E6">
        <v>7</v>
      </c>
      <c r="M6" t="str">
        <f>H1</f>
        <v xml:space="preserve">Biseccion </v>
      </c>
      <c r="N6">
        <v>4</v>
      </c>
    </row>
    <row r="7" spans="1:14" x14ac:dyDescent="0.55000000000000004">
      <c r="D7" t="str">
        <v>[06] Interpolacion Lagrange</v>
      </c>
      <c r="M7" t="str">
        <f>I1</f>
        <v>Interpolacion lineal en x=2.5</v>
      </c>
      <c r="N7">
        <v>5</v>
      </c>
    </row>
    <row r="8" spans="1:14" x14ac:dyDescent="0.55000000000000004">
      <c r="D8" t="str">
        <v>[07] Serie de Taylor</v>
      </c>
      <c r="M8" t="str">
        <f>J1</f>
        <v>Interpolacion Lagrange en x=2.5</v>
      </c>
      <c r="N8">
        <v>6</v>
      </c>
    </row>
    <row r="9" spans="1:14" x14ac:dyDescent="0.55000000000000004">
      <c r="M9" t="str">
        <f>K1</f>
        <v>Serie de Taylor</v>
      </c>
      <c r="N9">
        <v>7</v>
      </c>
    </row>
    <row r="10" spans="1:14" ht="17.399999999999999" x14ac:dyDescent="0.55000000000000004">
      <c r="A10" s="6" t="s">
        <v>22</v>
      </c>
      <c r="B10" s="6" t="s">
        <v>28</v>
      </c>
    </row>
    <row r="11" spans="1:14" x14ac:dyDescent="0.55000000000000004">
      <c r="A11" s="7">
        <v>0</v>
      </c>
      <c r="B11" s="7">
        <v>-1</v>
      </c>
      <c r="M11" t="s">
        <v>29</v>
      </c>
      <c r="N11">
        <v>1.0000000000000001E-9</v>
      </c>
    </row>
    <row r="12" spans="1:14" x14ac:dyDescent="0.55000000000000004">
      <c r="A12" s="7">
        <v>1</v>
      </c>
      <c r="B12" s="7">
        <v>3</v>
      </c>
    </row>
    <row r="15" spans="1:14" ht="34.799999999999997" x14ac:dyDescent="0.55000000000000004">
      <c r="A15" s="6" t="s">
        <v>22</v>
      </c>
      <c r="B15" s="6" t="s">
        <v>32</v>
      </c>
    </row>
    <row r="16" spans="1:14" x14ac:dyDescent="0.55000000000000004">
      <c r="A16" s="7">
        <v>0</v>
      </c>
      <c r="B16" s="7">
        <v>1</v>
      </c>
    </row>
    <row r="17" spans="2:2" x14ac:dyDescent="0.55000000000000004">
      <c r="B17" s="7">
        <v>0</v>
      </c>
    </row>
    <row r="18" spans="2:2" x14ac:dyDescent="0.55000000000000004">
      <c r="B18" s="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F52F7-C110-4206-AC9E-18B7B36283F0}">
  <dimension ref="A1:N502"/>
  <sheetViews>
    <sheetView workbookViewId="0">
      <selection activeCell="N4" sqref="N4:N6"/>
    </sheetView>
  </sheetViews>
  <sheetFormatPr baseColWidth="10" defaultRowHeight="14.4" x14ac:dyDescent="0.55000000000000004"/>
  <cols>
    <col min="3" max="3" width="14.26171875" customWidth="1"/>
    <col min="5" max="5" width="27.47265625" bestFit="1" customWidth="1"/>
    <col min="6" max="6" width="18.20703125" bestFit="1" customWidth="1"/>
    <col min="7" max="7" width="18.20703125" customWidth="1"/>
    <col min="10" max="10" width="11.9453125" bestFit="1" customWidth="1"/>
  </cols>
  <sheetData>
    <row r="1" spans="1:14" s="3" customFormat="1" ht="52.2" x14ac:dyDescent="0.55000000000000004">
      <c r="B1" s="6" t="s">
        <v>33</v>
      </c>
      <c r="C1" s="6" t="s">
        <v>34</v>
      </c>
      <c r="E1" s="4" t="s">
        <v>12</v>
      </c>
      <c r="F1" s="8" t="s">
        <v>38</v>
      </c>
      <c r="G1" s="8"/>
      <c r="H1" s="4" t="s">
        <v>39</v>
      </c>
      <c r="I1" s="4"/>
      <c r="J1" s="4" t="s">
        <v>40</v>
      </c>
      <c r="K1" s="4" t="s">
        <v>41</v>
      </c>
      <c r="L1" s="5"/>
      <c r="M1" s="4"/>
      <c r="N1" s="4" t="s">
        <v>17</v>
      </c>
    </row>
    <row r="2" spans="1:14" ht="17.399999999999999" x14ac:dyDescent="0.55000000000000004">
      <c r="A2" s="6" t="s">
        <v>35</v>
      </c>
      <c r="B2">
        <v>0</v>
      </c>
      <c r="C2">
        <v>1</v>
      </c>
      <c r="E2" t="str" cm="1">
        <f t="array" ref="E2:E5">_xll.J.EDO($B$2:$B$3,$C$2:$C$3,$N$7,$N$2)</f>
        <v>[01] Euler Explicito (dy/dt=-y)</v>
      </c>
      <c r="F2" cm="1">
        <f t="array" ref="F2:G502">_xll.J.EDO($B$2:$B$3,$C$2:$C$3,$N$7,$N$3)</f>
        <v>0</v>
      </c>
      <c r="G2">
        <v>1</v>
      </c>
      <c r="H2" t="s">
        <v>93</v>
      </c>
      <c r="J2" t="s">
        <v>93</v>
      </c>
      <c r="K2" t="s">
        <v>93</v>
      </c>
      <c r="M2" t="str">
        <f>E1</f>
        <v>Lista de procedimientos</v>
      </c>
      <c r="N2">
        <v>0</v>
      </c>
    </row>
    <row r="3" spans="1:14" ht="17.399999999999999" x14ac:dyDescent="0.55000000000000004">
      <c r="A3" s="6" t="s">
        <v>36</v>
      </c>
      <c r="B3">
        <v>5</v>
      </c>
      <c r="C3">
        <v>0</v>
      </c>
      <c r="E3" t="str">
        <v>[02] Runge-Kutta 4 (dy/dt=-y)</v>
      </c>
      <c r="F3">
        <v>0.01</v>
      </c>
      <c r="G3">
        <v>0.99</v>
      </c>
      <c r="M3" t="str">
        <f>F1</f>
        <v>Euler explicito</v>
      </c>
      <c r="N3">
        <v>1</v>
      </c>
    </row>
    <row r="4" spans="1:14" x14ac:dyDescent="0.55000000000000004">
      <c r="E4" t="str">
        <v>[03] Sistema EDOs RK4 (oscilador)</v>
      </c>
      <c r="F4">
        <v>0.02</v>
      </c>
      <c r="G4">
        <v>0.98009999999999997</v>
      </c>
      <c r="M4" t="str">
        <f>H1</f>
        <v>Runge-Kutta</v>
      </c>
      <c r="N4" t="s">
        <v>93</v>
      </c>
    </row>
    <row r="5" spans="1:14" x14ac:dyDescent="0.55000000000000004">
      <c r="E5" t="str">
        <v>[04] EDO 2do Orden RK4 (y''+y=0)</v>
      </c>
      <c r="F5">
        <v>0.03</v>
      </c>
      <c r="G5">
        <v>0.97029900000000002</v>
      </c>
      <c r="M5" t="str">
        <f>J1</f>
        <v>Oscilador armonico</v>
      </c>
      <c r="N5" t="s">
        <v>93</v>
      </c>
    </row>
    <row r="6" spans="1:14" x14ac:dyDescent="0.55000000000000004">
      <c r="F6">
        <v>0.04</v>
      </c>
      <c r="G6">
        <v>0.96059601000000006</v>
      </c>
      <c r="M6" t="str">
        <f>K1</f>
        <v>EDO 2do orden y''+y=0</v>
      </c>
      <c r="N6" t="s">
        <v>93</v>
      </c>
    </row>
    <row r="7" spans="1:14" x14ac:dyDescent="0.55000000000000004">
      <c r="F7">
        <v>0.05</v>
      </c>
      <c r="G7">
        <v>0.95099004990000002</v>
      </c>
      <c r="M7" t="s">
        <v>37</v>
      </c>
      <c r="N7">
        <v>0.01</v>
      </c>
    </row>
    <row r="8" spans="1:14" x14ac:dyDescent="0.55000000000000004">
      <c r="F8">
        <v>6.0000000000000005E-2</v>
      </c>
      <c r="G8">
        <v>0.941480149401</v>
      </c>
    </row>
    <row r="9" spans="1:14" x14ac:dyDescent="0.55000000000000004">
      <c r="F9">
        <v>7.0000000000000007E-2</v>
      </c>
      <c r="G9">
        <v>0.93206534790699003</v>
      </c>
    </row>
    <row r="10" spans="1:14" x14ac:dyDescent="0.55000000000000004">
      <c r="F10">
        <v>0.08</v>
      </c>
      <c r="G10">
        <v>0.92274469442792018</v>
      </c>
    </row>
    <row r="11" spans="1:14" x14ac:dyDescent="0.55000000000000004">
      <c r="F11">
        <v>0.09</v>
      </c>
      <c r="G11">
        <v>0.91351724748364094</v>
      </c>
    </row>
    <row r="12" spans="1:14" x14ac:dyDescent="0.55000000000000004">
      <c r="F12">
        <v>9.9999999999999992E-2</v>
      </c>
      <c r="G12">
        <v>0.90438207500880452</v>
      </c>
    </row>
    <row r="13" spans="1:14" x14ac:dyDescent="0.55000000000000004">
      <c r="F13">
        <v>0.10999999999999999</v>
      </c>
      <c r="G13">
        <v>0.89533825425871649</v>
      </c>
    </row>
    <row r="14" spans="1:14" x14ac:dyDescent="0.55000000000000004">
      <c r="F14">
        <v>0.11999999999999998</v>
      </c>
      <c r="G14">
        <v>0.88638487171612934</v>
      </c>
    </row>
    <row r="15" spans="1:14" x14ac:dyDescent="0.55000000000000004">
      <c r="F15">
        <v>0.12999999999999998</v>
      </c>
      <c r="G15">
        <v>0.87752102299896806</v>
      </c>
    </row>
    <row r="16" spans="1:14" x14ac:dyDescent="0.55000000000000004">
      <c r="F16">
        <v>0.13999999999999999</v>
      </c>
      <c r="G16">
        <v>0.86874581276897833</v>
      </c>
    </row>
    <row r="17" spans="6:7" x14ac:dyDescent="0.55000000000000004">
      <c r="F17">
        <v>0.15</v>
      </c>
      <c r="G17">
        <v>0.86005835464128855</v>
      </c>
    </row>
    <row r="18" spans="6:7" x14ac:dyDescent="0.55000000000000004">
      <c r="F18">
        <v>0.16</v>
      </c>
      <c r="G18">
        <v>0.85145777109487564</v>
      </c>
    </row>
    <row r="19" spans="6:7" x14ac:dyDescent="0.55000000000000004">
      <c r="F19">
        <v>0.17</v>
      </c>
      <c r="G19">
        <v>0.84294319338392687</v>
      </c>
    </row>
    <row r="20" spans="6:7" x14ac:dyDescent="0.55000000000000004">
      <c r="F20">
        <v>0.18000000000000002</v>
      </c>
      <c r="G20">
        <v>0.8345137614500876</v>
      </c>
    </row>
    <row r="21" spans="6:7" x14ac:dyDescent="0.55000000000000004">
      <c r="F21">
        <v>0.19000000000000003</v>
      </c>
      <c r="G21">
        <v>0.82616862383558676</v>
      </c>
    </row>
    <row r="22" spans="6:7" x14ac:dyDescent="0.55000000000000004">
      <c r="F22">
        <v>0.20000000000000004</v>
      </c>
      <c r="G22">
        <v>0.81790693759723088</v>
      </c>
    </row>
    <row r="23" spans="6:7" x14ac:dyDescent="0.55000000000000004">
      <c r="F23">
        <v>0.21000000000000005</v>
      </c>
      <c r="G23">
        <v>0.80972786822125853</v>
      </c>
    </row>
    <row r="24" spans="6:7" x14ac:dyDescent="0.55000000000000004">
      <c r="F24">
        <v>0.22000000000000006</v>
      </c>
      <c r="G24">
        <v>0.80163058953904598</v>
      </c>
    </row>
    <row r="25" spans="6:7" x14ac:dyDescent="0.55000000000000004">
      <c r="F25">
        <v>0.23000000000000007</v>
      </c>
      <c r="G25">
        <v>0.79361428364365549</v>
      </c>
    </row>
    <row r="26" spans="6:7" x14ac:dyDescent="0.55000000000000004">
      <c r="F26">
        <v>0.24000000000000007</v>
      </c>
      <c r="G26">
        <v>0.78567814080721898</v>
      </c>
    </row>
    <row r="27" spans="6:7" x14ac:dyDescent="0.55000000000000004">
      <c r="F27">
        <v>0.25000000000000006</v>
      </c>
      <c r="G27">
        <v>0.77782135939914676</v>
      </c>
    </row>
    <row r="28" spans="6:7" x14ac:dyDescent="0.55000000000000004">
      <c r="F28">
        <v>0.26000000000000006</v>
      </c>
      <c r="G28">
        <v>0.77004314580515532</v>
      </c>
    </row>
    <row r="29" spans="6:7" x14ac:dyDescent="0.55000000000000004">
      <c r="F29">
        <v>0.27000000000000007</v>
      </c>
      <c r="G29">
        <v>0.76234271434710377</v>
      </c>
    </row>
    <row r="30" spans="6:7" x14ac:dyDescent="0.55000000000000004">
      <c r="F30">
        <v>0.28000000000000008</v>
      </c>
      <c r="G30">
        <v>0.75471928720363268</v>
      </c>
    </row>
    <row r="31" spans="6:7" x14ac:dyDescent="0.55000000000000004">
      <c r="F31">
        <v>0.29000000000000009</v>
      </c>
      <c r="G31">
        <v>0.74717209433159637</v>
      </c>
    </row>
    <row r="32" spans="6:7" x14ac:dyDescent="0.55000000000000004">
      <c r="F32">
        <v>0.3000000000000001</v>
      </c>
      <c r="G32">
        <v>0.73970037338828043</v>
      </c>
    </row>
    <row r="33" spans="6:7" x14ac:dyDescent="0.55000000000000004">
      <c r="F33">
        <v>0.31000000000000011</v>
      </c>
      <c r="G33">
        <v>0.73230336965439757</v>
      </c>
    </row>
    <row r="34" spans="6:7" x14ac:dyDescent="0.55000000000000004">
      <c r="F34">
        <v>0.32000000000000012</v>
      </c>
      <c r="G34">
        <v>0.72498033595785361</v>
      </c>
    </row>
    <row r="35" spans="6:7" x14ac:dyDescent="0.55000000000000004">
      <c r="F35">
        <v>0.33000000000000013</v>
      </c>
      <c r="G35">
        <v>0.71773053259827502</v>
      </c>
    </row>
    <row r="36" spans="6:7" x14ac:dyDescent="0.55000000000000004">
      <c r="F36">
        <v>0.34000000000000014</v>
      </c>
      <c r="G36">
        <v>0.71055322727229231</v>
      </c>
    </row>
    <row r="37" spans="6:7" x14ac:dyDescent="0.55000000000000004">
      <c r="F37">
        <v>0.35000000000000014</v>
      </c>
      <c r="G37">
        <v>0.70344769499956938</v>
      </c>
    </row>
    <row r="38" spans="6:7" x14ac:dyDescent="0.55000000000000004">
      <c r="F38">
        <v>0.36000000000000015</v>
      </c>
      <c r="G38">
        <v>0.69641321804957368</v>
      </c>
    </row>
    <row r="39" spans="6:7" x14ac:dyDescent="0.55000000000000004">
      <c r="F39">
        <v>0.37000000000000016</v>
      </c>
      <c r="G39">
        <v>0.68944908586907794</v>
      </c>
    </row>
    <row r="40" spans="6:7" x14ac:dyDescent="0.55000000000000004">
      <c r="F40">
        <v>0.38000000000000017</v>
      </c>
      <c r="G40">
        <v>0.68255459501038718</v>
      </c>
    </row>
    <row r="41" spans="6:7" x14ac:dyDescent="0.55000000000000004">
      <c r="F41">
        <v>0.39000000000000018</v>
      </c>
      <c r="G41">
        <v>0.6757290490602833</v>
      </c>
    </row>
    <row r="42" spans="6:7" x14ac:dyDescent="0.55000000000000004">
      <c r="F42">
        <v>0.40000000000000019</v>
      </c>
      <c r="G42">
        <v>0.6689717585696805</v>
      </c>
    </row>
    <row r="43" spans="6:7" x14ac:dyDescent="0.55000000000000004">
      <c r="F43">
        <v>0.4100000000000002</v>
      </c>
      <c r="G43">
        <v>0.66228204098398369</v>
      </c>
    </row>
    <row r="44" spans="6:7" x14ac:dyDescent="0.55000000000000004">
      <c r="F44">
        <v>0.42000000000000021</v>
      </c>
      <c r="G44">
        <v>0.65565922057414383</v>
      </c>
    </row>
    <row r="45" spans="6:7" x14ac:dyDescent="0.55000000000000004">
      <c r="F45">
        <v>0.43000000000000022</v>
      </c>
      <c r="G45">
        <v>0.64910262836840238</v>
      </c>
    </row>
    <row r="46" spans="6:7" x14ac:dyDescent="0.55000000000000004">
      <c r="F46">
        <v>0.44000000000000022</v>
      </c>
      <c r="G46">
        <v>0.64261160208471835</v>
      </c>
    </row>
    <row r="47" spans="6:7" x14ac:dyDescent="0.55000000000000004">
      <c r="F47">
        <v>0.45000000000000023</v>
      </c>
      <c r="G47">
        <v>0.63618548606387115</v>
      </c>
    </row>
    <row r="48" spans="6:7" x14ac:dyDescent="0.55000000000000004">
      <c r="F48">
        <v>0.46000000000000024</v>
      </c>
      <c r="G48">
        <v>0.62982363120323248</v>
      </c>
    </row>
    <row r="49" spans="6:7" x14ac:dyDescent="0.55000000000000004">
      <c r="F49">
        <v>0.47000000000000025</v>
      </c>
      <c r="G49">
        <v>0.62352539489120018</v>
      </c>
    </row>
    <row r="50" spans="6:7" x14ac:dyDescent="0.55000000000000004">
      <c r="F50">
        <v>0.48000000000000026</v>
      </c>
      <c r="G50">
        <v>0.61729014094228818</v>
      </c>
    </row>
    <row r="51" spans="6:7" x14ac:dyDescent="0.55000000000000004">
      <c r="F51">
        <v>0.49000000000000027</v>
      </c>
      <c r="G51">
        <v>0.61111723953286534</v>
      </c>
    </row>
    <row r="52" spans="6:7" x14ac:dyDescent="0.55000000000000004">
      <c r="F52">
        <v>0.50000000000000022</v>
      </c>
      <c r="G52">
        <v>0.60500606713753668</v>
      </c>
    </row>
    <row r="53" spans="6:7" x14ac:dyDescent="0.55000000000000004">
      <c r="F53">
        <v>0.51000000000000023</v>
      </c>
      <c r="G53">
        <v>0.59895600646616132</v>
      </c>
    </row>
    <row r="54" spans="6:7" x14ac:dyDescent="0.55000000000000004">
      <c r="F54">
        <v>0.52000000000000024</v>
      </c>
      <c r="G54">
        <v>0.59296644640149976</v>
      </c>
    </row>
    <row r="55" spans="6:7" x14ac:dyDescent="0.55000000000000004">
      <c r="F55">
        <v>0.53000000000000025</v>
      </c>
      <c r="G55">
        <v>0.58703678193748476</v>
      </c>
    </row>
    <row r="56" spans="6:7" x14ac:dyDescent="0.55000000000000004">
      <c r="F56">
        <v>0.54000000000000026</v>
      </c>
      <c r="G56">
        <v>0.58116641411810988</v>
      </c>
    </row>
    <row r="57" spans="6:7" x14ac:dyDescent="0.55000000000000004">
      <c r="F57">
        <v>0.55000000000000027</v>
      </c>
      <c r="G57">
        <v>0.57535474997692881</v>
      </c>
    </row>
    <row r="58" spans="6:7" x14ac:dyDescent="0.55000000000000004">
      <c r="F58">
        <v>0.56000000000000028</v>
      </c>
      <c r="G58">
        <v>0.56960120247715951</v>
      </c>
    </row>
    <row r="59" spans="6:7" x14ac:dyDescent="0.55000000000000004">
      <c r="F59">
        <v>0.57000000000000028</v>
      </c>
      <c r="G59">
        <v>0.56390519045238796</v>
      </c>
    </row>
    <row r="60" spans="6:7" x14ac:dyDescent="0.55000000000000004">
      <c r="F60">
        <v>0.58000000000000029</v>
      </c>
      <c r="G60">
        <v>0.55826613854786411</v>
      </c>
    </row>
    <row r="61" spans="6:7" x14ac:dyDescent="0.55000000000000004">
      <c r="F61">
        <v>0.5900000000000003</v>
      </c>
      <c r="G61">
        <v>0.55268347716238542</v>
      </c>
    </row>
    <row r="62" spans="6:7" x14ac:dyDescent="0.55000000000000004">
      <c r="F62">
        <v>0.60000000000000031</v>
      </c>
      <c r="G62">
        <v>0.54715664239076156</v>
      </c>
    </row>
    <row r="63" spans="6:7" x14ac:dyDescent="0.55000000000000004">
      <c r="F63">
        <v>0.61000000000000032</v>
      </c>
      <c r="G63">
        <v>0.54168507596685389</v>
      </c>
    </row>
    <row r="64" spans="6:7" x14ac:dyDescent="0.55000000000000004">
      <c r="F64">
        <v>0.62000000000000033</v>
      </c>
      <c r="G64">
        <v>0.53626822520718531</v>
      </c>
    </row>
    <row r="65" spans="6:7" x14ac:dyDescent="0.55000000000000004">
      <c r="F65">
        <v>0.63000000000000034</v>
      </c>
      <c r="G65">
        <v>0.5309055429551135</v>
      </c>
    </row>
    <row r="66" spans="6:7" x14ac:dyDescent="0.55000000000000004">
      <c r="F66">
        <v>0.64000000000000035</v>
      </c>
      <c r="G66">
        <v>0.52559648752556232</v>
      </c>
    </row>
    <row r="67" spans="6:7" x14ac:dyDescent="0.55000000000000004">
      <c r="F67">
        <v>0.65000000000000036</v>
      </c>
      <c r="G67">
        <v>0.52034052265030672</v>
      </c>
    </row>
    <row r="68" spans="6:7" x14ac:dyDescent="0.55000000000000004">
      <c r="F68">
        <v>0.66000000000000036</v>
      </c>
      <c r="G68">
        <v>0.51513711742380364</v>
      </c>
    </row>
    <row r="69" spans="6:7" x14ac:dyDescent="0.55000000000000004">
      <c r="F69">
        <v>0.67000000000000037</v>
      </c>
      <c r="G69">
        <v>0.50998574624956561</v>
      </c>
    </row>
    <row r="70" spans="6:7" x14ac:dyDescent="0.55000000000000004">
      <c r="F70">
        <v>0.68000000000000038</v>
      </c>
      <c r="G70">
        <v>0.50488588878706997</v>
      </c>
    </row>
    <row r="71" spans="6:7" x14ac:dyDescent="0.55000000000000004">
      <c r="F71">
        <v>0.69000000000000039</v>
      </c>
      <c r="G71">
        <v>0.49983702989919926</v>
      </c>
    </row>
    <row r="72" spans="6:7" x14ac:dyDescent="0.55000000000000004">
      <c r="F72">
        <v>0.7000000000000004</v>
      </c>
      <c r="G72">
        <v>0.49483865960020729</v>
      </c>
    </row>
    <row r="73" spans="6:7" x14ac:dyDescent="0.55000000000000004">
      <c r="F73">
        <v>0.71000000000000041</v>
      </c>
      <c r="G73">
        <v>0.48989027300420523</v>
      </c>
    </row>
    <row r="74" spans="6:7" x14ac:dyDescent="0.55000000000000004">
      <c r="F74">
        <v>0.72000000000000042</v>
      </c>
      <c r="G74">
        <v>0.48499137027416317</v>
      </c>
    </row>
    <row r="75" spans="6:7" x14ac:dyDescent="0.55000000000000004">
      <c r="F75">
        <v>0.73000000000000043</v>
      </c>
      <c r="G75">
        <v>0.48014145657142154</v>
      </c>
    </row>
    <row r="76" spans="6:7" x14ac:dyDescent="0.55000000000000004">
      <c r="F76">
        <v>0.74000000000000044</v>
      </c>
      <c r="G76">
        <v>0.47534004200570734</v>
      </c>
    </row>
    <row r="77" spans="6:7" x14ac:dyDescent="0.55000000000000004">
      <c r="F77">
        <v>0.75000000000000044</v>
      </c>
      <c r="G77">
        <v>0.47058664158565028</v>
      </c>
    </row>
    <row r="78" spans="6:7" x14ac:dyDescent="0.55000000000000004">
      <c r="F78">
        <v>0.76000000000000045</v>
      </c>
      <c r="G78">
        <v>0.46588077516979376</v>
      </c>
    </row>
    <row r="79" spans="6:7" x14ac:dyDescent="0.55000000000000004">
      <c r="F79">
        <v>0.77000000000000046</v>
      </c>
      <c r="G79">
        <v>0.46122196741809585</v>
      </c>
    </row>
    <row r="80" spans="6:7" x14ac:dyDescent="0.55000000000000004">
      <c r="F80">
        <v>0.78000000000000047</v>
      </c>
      <c r="G80">
        <v>0.45660974774391488</v>
      </c>
    </row>
    <row r="81" spans="6:7" x14ac:dyDescent="0.55000000000000004">
      <c r="F81">
        <v>0.79000000000000048</v>
      </c>
      <c r="G81">
        <v>0.45204365026647575</v>
      </c>
    </row>
    <row r="82" spans="6:7" x14ac:dyDescent="0.55000000000000004">
      <c r="F82">
        <v>0.80000000000000049</v>
      </c>
      <c r="G82">
        <v>0.44752321376381099</v>
      </c>
    </row>
    <row r="83" spans="6:7" x14ac:dyDescent="0.55000000000000004">
      <c r="F83">
        <v>0.8100000000000005</v>
      </c>
      <c r="G83">
        <v>0.44304798162617287</v>
      </c>
    </row>
    <row r="84" spans="6:7" x14ac:dyDescent="0.55000000000000004">
      <c r="F84">
        <v>0.82000000000000051</v>
      </c>
      <c r="G84">
        <v>0.43861750180991116</v>
      </c>
    </row>
    <row r="85" spans="6:7" x14ac:dyDescent="0.55000000000000004">
      <c r="F85">
        <v>0.83000000000000052</v>
      </c>
      <c r="G85">
        <v>0.43423132679181203</v>
      </c>
    </row>
    <row r="86" spans="6:7" x14ac:dyDescent="0.55000000000000004">
      <c r="F86">
        <v>0.84000000000000052</v>
      </c>
      <c r="G86">
        <v>0.42988901352389391</v>
      </c>
    </row>
    <row r="87" spans="6:7" x14ac:dyDescent="0.55000000000000004">
      <c r="F87">
        <v>0.85000000000000053</v>
      </c>
      <c r="G87">
        <v>0.42559012338865498</v>
      </c>
    </row>
    <row r="88" spans="6:7" x14ac:dyDescent="0.55000000000000004">
      <c r="F88">
        <v>0.86000000000000054</v>
      </c>
      <c r="G88">
        <v>0.42133422215476846</v>
      </c>
    </row>
    <row r="89" spans="6:7" x14ac:dyDescent="0.55000000000000004">
      <c r="F89">
        <v>0.87000000000000055</v>
      </c>
      <c r="G89">
        <v>0.41712087993322078</v>
      </c>
    </row>
    <row r="90" spans="6:7" x14ac:dyDescent="0.55000000000000004">
      <c r="F90">
        <v>0.88000000000000056</v>
      </c>
      <c r="G90">
        <v>0.41294967113388859</v>
      </c>
    </row>
    <row r="91" spans="6:7" x14ac:dyDescent="0.55000000000000004">
      <c r="F91">
        <v>0.89000000000000057</v>
      </c>
      <c r="G91">
        <v>0.4088201744225497</v>
      </c>
    </row>
    <row r="92" spans="6:7" x14ac:dyDescent="0.55000000000000004">
      <c r="F92">
        <v>0.90000000000000058</v>
      </c>
      <c r="G92">
        <v>0.40473197267832423</v>
      </c>
    </row>
    <row r="93" spans="6:7" x14ac:dyDescent="0.55000000000000004">
      <c r="F93">
        <v>0.91000000000000059</v>
      </c>
      <c r="G93">
        <v>0.40068465295154099</v>
      </c>
    </row>
    <row r="94" spans="6:7" x14ac:dyDescent="0.55000000000000004">
      <c r="F94">
        <v>0.9200000000000006</v>
      </c>
      <c r="G94">
        <v>0.3966778064220256</v>
      </c>
    </row>
    <row r="95" spans="6:7" x14ac:dyDescent="0.55000000000000004">
      <c r="F95">
        <v>0.9300000000000006</v>
      </c>
      <c r="G95">
        <v>0.39271102835780536</v>
      </c>
    </row>
    <row r="96" spans="6:7" x14ac:dyDescent="0.55000000000000004">
      <c r="F96">
        <v>0.94000000000000061</v>
      </c>
      <c r="G96">
        <v>0.3887839180742273</v>
      </c>
    </row>
    <row r="97" spans="6:7" x14ac:dyDescent="0.55000000000000004">
      <c r="F97">
        <v>0.95000000000000062</v>
      </c>
      <c r="G97">
        <v>0.38489607889348504</v>
      </c>
    </row>
    <row r="98" spans="6:7" x14ac:dyDescent="0.55000000000000004">
      <c r="F98">
        <v>0.96000000000000063</v>
      </c>
      <c r="G98">
        <v>0.38104711810455016</v>
      </c>
    </row>
    <row r="99" spans="6:7" x14ac:dyDescent="0.55000000000000004">
      <c r="F99">
        <v>0.97000000000000064</v>
      </c>
      <c r="G99">
        <v>0.37723664692350467</v>
      </c>
    </row>
    <row r="100" spans="6:7" x14ac:dyDescent="0.55000000000000004">
      <c r="F100">
        <v>0.98000000000000065</v>
      </c>
      <c r="G100">
        <v>0.3734642804542696</v>
      </c>
    </row>
    <row r="101" spans="6:7" x14ac:dyDescent="0.55000000000000004">
      <c r="F101">
        <v>0.99000000000000066</v>
      </c>
      <c r="G101">
        <v>0.36972963764972688</v>
      </c>
    </row>
    <row r="102" spans="6:7" x14ac:dyDescent="0.55000000000000004">
      <c r="F102">
        <v>1.0000000000000007</v>
      </c>
      <c r="G102">
        <v>0.36603234127322959</v>
      </c>
    </row>
    <row r="103" spans="6:7" x14ac:dyDescent="0.55000000000000004">
      <c r="F103">
        <v>1.0100000000000007</v>
      </c>
      <c r="G103">
        <v>0.36237201786049728</v>
      </c>
    </row>
    <row r="104" spans="6:7" x14ac:dyDescent="0.55000000000000004">
      <c r="F104">
        <v>1.0200000000000007</v>
      </c>
      <c r="G104">
        <v>0.35874829768189231</v>
      </c>
    </row>
    <row r="105" spans="6:7" x14ac:dyDescent="0.55000000000000004">
      <c r="F105">
        <v>1.0300000000000007</v>
      </c>
      <c r="G105">
        <v>0.35516081470507338</v>
      </c>
    </row>
    <row r="106" spans="6:7" x14ac:dyDescent="0.55000000000000004">
      <c r="F106">
        <v>1.0400000000000007</v>
      </c>
      <c r="G106">
        <v>0.35160920655802264</v>
      </c>
    </row>
    <row r="107" spans="6:7" x14ac:dyDescent="0.55000000000000004">
      <c r="F107">
        <v>1.0500000000000007</v>
      </c>
      <c r="G107">
        <v>0.3480931144924424</v>
      </c>
    </row>
    <row r="108" spans="6:7" x14ac:dyDescent="0.55000000000000004">
      <c r="F108">
        <v>1.0600000000000007</v>
      </c>
      <c r="G108">
        <v>0.34461218334751798</v>
      </c>
    </row>
    <row r="109" spans="6:7" x14ac:dyDescent="0.55000000000000004">
      <c r="F109">
        <v>1.0700000000000007</v>
      </c>
      <c r="G109">
        <v>0.34116606151404277</v>
      </c>
    </row>
    <row r="110" spans="6:7" x14ac:dyDescent="0.55000000000000004">
      <c r="F110">
        <v>1.0800000000000007</v>
      </c>
      <c r="G110">
        <v>0.33775440089890235</v>
      </c>
    </row>
    <row r="111" spans="6:7" x14ac:dyDescent="0.55000000000000004">
      <c r="F111">
        <v>1.0900000000000007</v>
      </c>
      <c r="G111">
        <v>0.33437685688991331</v>
      </c>
    </row>
    <row r="112" spans="6:7" x14ac:dyDescent="0.55000000000000004">
      <c r="F112">
        <v>1.1000000000000008</v>
      </c>
      <c r="G112">
        <v>0.33103308832101419</v>
      </c>
    </row>
    <row r="113" spans="6:7" x14ac:dyDescent="0.55000000000000004">
      <c r="F113">
        <v>1.1100000000000008</v>
      </c>
      <c r="G113">
        <v>0.32772275743780405</v>
      </c>
    </row>
    <row r="114" spans="6:7" x14ac:dyDescent="0.55000000000000004">
      <c r="F114">
        <v>1.1200000000000008</v>
      </c>
      <c r="G114">
        <v>0.32444552986342601</v>
      </c>
    </row>
    <row r="115" spans="6:7" x14ac:dyDescent="0.55000000000000004">
      <c r="F115">
        <v>1.1300000000000008</v>
      </c>
      <c r="G115">
        <v>0.32120107456479174</v>
      </c>
    </row>
    <row r="116" spans="6:7" x14ac:dyDescent="0.55000000000000004">
      <c r="F116">
        <v>1.1400000000000008</v>
      </c>
      <c r="G116">
        <v>0.31798906381914382</v>
      </c>
    </row>
    <row r="117" spans="6:7" x14ac:dyDescent="0.55000000000000004">
      <c r="F117">
        <v>1.1500000000000008</v>
      </c>
      <c r="G117">
        <v>0.31480917318095236</v>
      </c>
    </row>
    <row r="118" spans="6:7" x14ac:dyDescent="0.55000000000000004">
      <c r="F118">
        <v>1.1600000000000008</v>
      </c>
      <c r="G118">
        <v>0.31166108144914284</v>
      </c>
    </row>
    <row r="119" spans="6:7" x14ac:dyDescent="0.55000000000000004">
      <c r="F119">
        <v>1.1700000000000008</v>
      </c>
      <c r="G119">
        <v>0.3085444706346514</v>
      </c>
    </row>
    <row r="120" spans="6:7" x14ac:dyDescent="0.55000000000000004">
      <c r="F120">
        <v>1.1800000000000008</v>
      </c>
      <c r="G120">
        <v>0.30545902592830487</v>
      </c>
    </row>
    <row r="121" spans="6:7" x14ac:dyDescent="0.55000000000000004">
      <c r="F121">
        <v>1.1900000000000008</v>
      </c>
      <c r="G121">
        <v>0.30240443566902181</v>
      </c>
    </row>
    <row r="122" spans="6:7" x14ac:dyDescent="0.55000000000000004">
      <c r="F122">
        <v>1.2000000000000008</v>
      </c>
      <c r="G122">
        <v>0.29938039131233157</v>
      </c>
    </row>
    <row r="123" spans="6:7" x14ac:dyDescent="0.55000000000000004">
      <c r="F123">
        <v>1.2100000000000009</v>
      </c>
      <c r="G123">
        <v>0.29638658739920826</v>
      </c>
    </row>
    <row r="124" spans="6:7" x14ac:dyDescent="0.55000000000000004">
      <c r="F124">
        <v>1.2200000000000009</v>
      </c>
      <c r="G124">
        <v>0.2934227215252162</v>
      </c>
    </row>
    <row r="125" spans="6:7" x14ac:dyDescent="0.55000000000000004">
      <c r="F125">
        <v>1.2300000000000009</v>
      </c>
      <c r="G125">
        <v>0.29048849430996404</v>
      </c>
    </row>
    <row r="126" spans="6:7" x14ac:dyDescent="0.55000000000000004">
      <c r="F126">
        <v>1.2400000000000009</v>
      </c>
      <c r="G126">
        <v>0.28758360936686439</v>
      </c>
    </row>
    <row r="127" spans="6:7" x14ac:dyDescent="0.55000000000000004">
      <c r="F127">
        <v>1.2500000000000009</v>
      </c>
      <c r="G127">
        <v>0.28470777327319574</v>
      </c>
    </row>
    <row r="128" spans="6:7" x14ac:dyDescent="0.55000000000000004">
      <c r="F128">
        <v>1.2600000000000009</v>
      </c>
      <c r="G128">
        <v>0.28186069554046378</v>
      </c>
    </row>
    <row r="129" spans="6:7" x14ac:dyDescent="0.55000000000000004">
      <c r="F129">
        <v>1.2700000000000009</v>
      </c>
      <c r="G129">
        <v>0.27904208858505913</v>
      </c>
    </row>
    <row r="130" spans="6:7" x14ac:dyDescent="0.55000000000000004">
      <c r="F130">
        <v>1.2800000000000009</v>
      </c>
      <c r="G130">
        <v>0.27625166769920856</v>
      </c>
    </row>
    <row r="131" spans="6:7" x14ac:dyDescent="0.55000000000000004">
      <c r="F131">
        <v>1.2900000000000009</v>
      </c>
      <c r="G131">
        <v>0.27348915102221649</v>
      </c>
    </row>
    <row r="132" spans="6:7" x14ac:dyDescent="0.55000000000000004">
      <c r="F132">
        <v>1.3000000000000009</v>
      </c>
      <c r="G132">
        <v>0.27075425951199433</v>
      </c>
    </row>
    <row r="133" spans="6:7" x14ac:dyDescent="0.55000000000000004">
      <c r="F133">
        <v>1.3100000000000009</v>
      </c>
      <c r="G133">
        <v>0.26804671691687437</v>
      </c>
    </row>
    <row r="134" spans="6:7" x14ac:dyDescent="0.55000000000000004">
      <c r="F134">
        <v>1.320000000000001</v>
      </c>
      <c r="G134">
        <v>0.26536624974770562</v>
      </c>
    </row>
    <row r="135" spans="6:7" x14ac:dyDescent="0.55000000000000004">
      <c r="F135">
        <v>1.330000000000001</v>
      </c>
      <c r="G135">
        <v>0.26271258725022856</v>
      </c>
    </row>
    <row r="136" spans="6:7" x14ac:dyDescent="0.55000000000000004">
      <c r="F136">
        <v>1.340000000000001</v>
      </c>
      <c r="G136">
        <v>0.26008546137772626</v>
      </c>
    </row>
    <row r="137" spans="6:7" x14ac:dyDescent="0.55000000000000004">
      <c r="F137">
        <v>1.350000000000001</v>
      </c>
      <c r="G137">
        <v>0.25748460676394902</v>
      </c>
    </row>
    <row r="138" spans="6:7" x14ac:dyDescent="0.55000000000000004">
      <c r="F138">
        <v>1.360000000000001</v>
      </c>
      <c r="G138">
        <v>0.25490976069630955</v>
      </c>
    </row>
    <row r="139" spans="6:7" x14ac:dyDescent="0.55000000000000004">
      <c r="F139">
        <v>1.370000000000001</v>
      </c>
      <c r="G139">
        <v>0.25236066308934646</v>
      </c>
    </row>
    <row r="140" spans="6:7" x14ac:dyDescent="0.55000000000000004">
      <c r="F140">
        <v>1.380000000000001</v>
      </c>
      <c r="G140">
        <v>0.249837056458453</v>
      </c>
    </row>
    <row r="141" spans="6:7" x14ac:dyDescent="0.55000000000000004">
      <c r="F141">
        <v>1.390000000000001</v>
      </c>
      <c r="G141">
        <v>0.24733868589386848</v>
      </c>
    </row>
    <row r="142" spans="6:7" x14ac:dyDescent="0.55000000000000004">
      <c r="F142">
        <v>1.400000000000001</v>
      </c>
      <c r="G142">
        <v>0.24486529903492979</v>
      </c>
    </row>
    <row r="143" spans="6:7" x14ac:dyDescent="0.55000000000000004">
      <c r="F143">
        <v>1.410000000000001</v>
      </c>
      <c r="G143">
        <v>0.24241664604458049</v>
      </c>
    </row>
    <row r="144" spans="6:7" x14ac:dyDescent="0.55000000000000004">
      <c r="F144">
        <v>1.420000000000001</v>
      </c>
      <c r="G144">
        <v>0.23999247958413469</v>
      </c>
    </row>
    <row r="145" spans="6:7" x14ac:dyDescent="0.55000000000000004">
      <c r="F145">
        <v>1.430000000000001</v>
      </c>
      <c r="G145">
        <v>0.23759255478829336</v>
      </c>
    </row>
    <row r="146" spans="6:7" x14ac:dyDescent="0.55000000000000004">
      <c r="F146">
        <v>1.4400000000000011</v>
      </c>
      <c r="G146">
        <v>0.23521662924041042</v>
      </c>
    </row>
    <row r="147" spans="6:7" x14ac:dyDescent="0.55000000000000004">
      <c r="F147">
        <v>1.4500000000000011</v>
      </c>
      <c r="G147">
        <v>0.23286446294800631</v>
      </c>
    </row>
    <row r="148" spans="6:7" x14ac:dyDescent="0.55000000000000004">
      <c r="F148">
        <v>1.4600000000000011</v>
      </c>
      <c r="G148">
        <v>0.23053581831852624</v>
      </c>
    </row>
    <row r="149" spans="6:7" x14ac:dyDescent="0.55000000000000004">
      <c r="F149">
        <v>1.4700000000000011</v>
      </c>
      <c r="G149">
        <v>0.22823046013534098</v>
      </c>
    </row>
    <row r="150" spans="6:7" x14ac:dyDescent="0.55000000000000004">
      <c r="F150">
        <v>1.4800000000000011</v>
      </c>
      <c r="G150">
        <v>0.22594815553398759</v>
      </c>
    </row>
    <row r="151" spans="6:7" x14ac:dyDescent="0.55000000000000004">
      <c r="F151">
        <v>1.4900000000000011</v>
      </c>
      <c r="G151">
        <v>0.22368867397864772</v>
      </c>
    </row>
    <row r="152" spans="6:7" x14ac:dyDescent="0.55000000000000004">
      <c r="F152">
        <v>1.5000000000000011</v>
      </c>
      <c r="G152">
        <v>0.22145178723886125</v>
      </c>
    </row>
    <row r="153" spans="6:7" x14ac:dyDescent="0.55000000000000004">
      <c r="F153">
        <v>1.5100000000000011</v>
      </c>
      <c r="G153">
        <v>0.21923726936647264</v>
      </c>
    </row>
    <row r="154" spans="6:7" x14ac:dyDescent="0.55000000000000004">
      <c r="F154">
        <v>1.5200000000000011</v>
      </c>
      <c r="G154">
        <v>0.21704489667280791</v>
      </c>
    </row>
    <row r="155" spans="6:7" x14ac:dyDescent="0.55000000000000004">
      <c r="F155">
        <v>1.5300000000000011</v>
      </c>
      <c r="G155">
        <v>0.21487444770607983</v>
      </c>
    </row>
    <row r="156" spans="6:7" x14ac:dyDescent="0.55000000000000004">
      <c r="F156">
        <v>1.5400000000000011</v>
      </c>
      <c r="G156">
        <v>0.21272570322901904</v>
      </c>
    </row>
    <row r="157" spans="6:7" x14ac:dyDescent="0.55000000000000004">
      <c r="F157">
        <v>1.5500000000000012</v>
      </c>
      <c r="G157">
        <v>0.21059844619672885</v>
      </c>
    </row>
    <row r="158" spans="6:7" x14ac:dyDescent="0.55000000000000004">
      <c r="F158">
        <v>1.5600000000000012</v>
      </c>
      <c r="G158">
        <v>0.20849246173476157</v>
      </c>
    </row>
    <row r="159" spans="6:7" x14ac:dyDescent="0.55000000000000004">
      <c r="F159">
        <v>1.5700000000000012</v>
      </c>
      <c r="G159">
        <v>0.20640753711741397</v>
      </c>
    </row>
    <row r="160" spans="6:7" x14ac:dyDescent="0.55000000000000004">
      <c r="F160">
        <v>1.5800000000000012</v>
      </c>
      <c r="G160">
        <v>0.20434346174623982</v>
      </c>
    </row>
    <row r="161" spans="6:7" x14ac:dyDescent="0.55000000000000004">
      <c r="F161">
        <v>1.5900000000000012</v>
      </c>
      <c r="G161">
        <v>0.20230002712877743</v>
      </c>
    </row>
    <row r="162" spans="6:7" x14ac:dyDescent="0.55000000000000004">
      <c r="F162">
        <v>1.6000000000000012</v>
      </c>
      <c r="G162">
        <v>0.20027702685748966</v>
      </c>
    </row>
    <row r="163" spans="6:7" x14ac:dyDescent="0.55000000000000004">
      <c r="F163">
        <v>1.6100000000000012</v>
      </c>
      <c r="G163">
        <v>0.19827425658891476</v>
      </c>
    </row>
    <row r="164" spans="6:7" x14ac:dyDescent="0.55000000000000004">
      <c r="F164">
        <v>1.6200000000000012</v>
      </c>
      <c r="G164">
        <v>0.19629151402302561</v>
      </c>
    </row>
    <row r="165" spans="6:7" x14ac:dyDescent="0.55000000000000004">
      <c r="F165">
        <v>1.6300000000000012</v>
      </c>
      <c r="G165">
        <v>0.19432859888279536</v>
      </c>
    </row>
    <row r="166" spans="6:7" x14ac:dyDescent="0.55000000000000004">
      <c r="F166">
        <v>1.6400000000000012</v>
      </c>
      <c r="G166">
        <v>0.1923853128939674</v>
      </c>
    </row>
    <row r="167" spans="6:7" x14ac:dyDescent="0.55000000000000004">
      <c r="F167">
        <v>1.6500000000000012</v>
      </c>
      <c r="G167">
        <v>0.19046145976502774</v>
      </c>
    </row>
    <row r="168" spans="6:7" x14ac:dyDescent="0.55000000000000004">
      <c r="F168">
        <v>1.6600000000000013</v>
      </c>
      <c r="G168">
        <v>0.18855684516737745</v>
      </c>
    </row>
    <row r="169" spans="6:7" x14ac:dyDescent="0.55000000000000004">
      <c r="F169">
        <v>1.6700000000000013</v>
      </c>
      <c r="G169">
        <v>0.18667127671570366</v>
      </c>
    </row>
    <row r="170" spans="6:7" x14ac:dyDescent="0.55000000000000004">
      <c r="F170">
        <v>1.6800000000000013</v>
      </c>
      <c r="G170">
        <v>0.18480456394854664</v>
      </c>
    </row>
    <row r="171" spans="6:7" x14ac:dyDescent="0.55000000000000004">
      <c r="F171">
        <v>1.6900000000000013</v>
      </c>
      <c r="G171">
        <v>0.18295651830906118</v>
      </c>
    </row>
    <row r="172" spans="6:7" x14ac:dyDescent="0.55000000000000004">
      <c r="F172">
        <v>1.7000000000000013</v>
      </c>
      <c r="G172">
        <v>0.18112695312597057</v>
      </c>
    </row>
    <row r="173" spans="6:7" x14ac:dyDescent="0.55000000000000004">
      <c r="F173">
        <v>1.7100000000000013</v>
      </c>
      <c r="G173">
        <v>0.17931568359471087</v>
      </c>
    </row>
    <row r="174" spans="6:7" x14ac:dyDescent="0.55000000000000004">
      <c r="F174">
        <v>1.7200000000000013</v>
      </c>
      <c r="G174">
        <v>0.17752252675876376</v>
      </c>
    </row>
    <row r="175" spans="6:7" x14ac:dyDescent="0.55000000000000004">
      <c r="F175">
        <v>1.7300000000000013</v>
      </c>
      <c r="G175">
        <v>0.17574730149117612</v>
      </c>
    </row>
    <row r="176" spans="6:7" x14ac:dyDescent="0.55000000000000004">
      <c r="F176">
        <v>1.7400000000000013</v>
      </c>
      <c r="G176">
        <v>0.17398982847626437</v>
      </c>
    </row>
    <row r="177" spans="6:7" x14ac:dyDescent="0.55000000000000004">
      <c r="F177">
        <v>1.7500000000000013</v>
      </c>
      <c r="G177">
        <v>0.17224993019150173</v>
      </c>
    </row>
    <row r="178" spans="6:7" x14ac:dyDescent="0.55000000000000004">
      <c r="F178">
        <v>1.7600000000000013</v>
      </c>
      <c r="G178">
        <v>0.17052743088958672</v>
      </c>
    </row>
    <row r="179" spans="6:7" x14ac:dyDescent="0.55000000000000004">
      <c r="F179">
        <v>1.7700000000000014</v>
      </c>
      <c r="G179">
        <v>0.16882215658069086</v>
      </c>
    </row>
    <row r="180" spans="6:7" x14ac:dyDescent="0.55000000000000004">
      <c r="F180">
        <v>1.7800000000000014</v>
      </c>
      <c r="G180">
        <v>0.16713393501488394</v>
      </c>
    </row>
    <row r="181" spans="6:7" x14ac:dyDescent="0.55000000000000004">
      <c r="F181">
        <v>1.7900000000000014</v>
      </c>
      <c r="G181">
        <v>0.16546259566473509</v>
      </c>
    </row>
    <row r="182" spans="6:7" x14ac:dyDescent="0.55000000000000004">
      <c r="F182">
        <v>1.8000000000000014</v>
      </c>
      <c r="G182">
        <v>0.16380796970808775</v>
      </c>
    </row>
    <row r="183" spans="6:7" x14ac:dyDescent="0.55000000000000004">
      <c r="F183">
        <v>1.8100000000000014</v>
      </c>
      <c r="G183">
        <v>0.16216989001100687</v>
      </c>
    </row>
    <row r="184" spans="6:7" x14ac:dyDescent="0.55000000000000004">
      <c r="F184">
        <v>1.8200000000000014</v>
      </c>
      <c r="G184">
        <v>0.1605481911108968</v>
      </c>
    </row>
    <row r="185" spans="6:7" x14ac:dyDescent="0.55000000000000004">
      <c r="F185">
        <v>1.8300000000000014</v>
      </c>
      <c r="G185">
        <v>0.15894270919978784</v>
      </c>
    </row>
    <row r="186" spans="6:7" x14ac:dyDescent="0.55000000000000004">
      <c r="F186">
        <v>1.8400000000000014</v>
      </c>
      <c r="G186">
        <v>0.15735328210778995</v>
      </c>
    </row>
    <row r="187" spans="6:7" x14ac:dyDescent="0.55000000000000004">
      <c r="F187">
        <v>1.8500000000000014</v>
      </c>
      <c r="G187">
        <v>0.15577974928671207</v>
      </c>
    </row>
    <row r="188" spans="6:7" x14ac:dyDescent="0.55000000000000004">
      <c r="F188">
        <v>1.8600000000000014</v>
      </c>
      <c r="G188">
        <v>0.15422195179384496</v>
      </c>
    </row>
    <row r="189" spans="6:7" x14ac:dyDescent="0.55000000000000004">
      <c r="F189">
        <v>1.8700000000000014</v>
      </c>
      <c r="G189">
        <v>0.1526797322759065</v>
      </c>
    </row>
    <row r="190" spans="6:7" x14ac:dyDescent="0.55000000000000004">
      <c r="F190">
        <v>1.8800000000000014</v>
      </c>
      <c r="G190">
        <v>0.15115293495314744</v>
      </c>
    </row>
    <row r="191" spans="6:7" x14ac:dyDescent="0.55000000000000004">
      <c r="F191">
        <v>1.8900000000000015</v>
      </c>
      <c r="G191">
        <v>0.14964140560361597</v>
      </c>
    </row>
    <row r="192" spans="6:7" x14ac:dyDescent="0.55000000000000004">
      <c r="F192">
        <v>1.9000000000000015</v>
      </c>
      <c r="G192">
        <v>0.14814499154757982</v>
      </c>
    </row>
    <row r="193" spans="6:7" x14ac:dyDescent="0.55000000000000004">
      <c r="F193">
        <v>1.9100000000000015</v>
      </c>
      <c r="G193">
        <v>0.14666354163210402</v>
      </c>
    </row>
    <row r="194" spans="6:7" x14ac:dyDescent="0.55000000000000004">
      <c r="F194">
        <v>1.9200000000000015</v>
      </c>
      <c r="G194">
        <v>0.14519690621578299</v>
      </c>
    </row>
    <row r="195" spans="6:7" x14ac:dyDescent="0.55000000000000004">
      <c r="F195">
        <v>1.9300000000000015</v>
      </c>
      <c r="G195">
        <v>0.14374493715362516</v>
      </c>
    </row>
    <row r="196" spans="6:7" x14ac:dyDescent="0.55000000000000004">
      <c r="F196">
        <v>1.9400000000000015</v>
      </c>
      <c r="G196">
        <v>0.1423074877820889</v>
      </c>
    </row>
    <row r="197" spans="6:7" x14ac:dyDescent="0.55000000000000004">
      <c r="F197">
        <v>1.9500000000000015</v>
      </c>
      <c r="G197">
        <v>0.14088441290426801</v>
      </c>
    </row>
    <row r="198" spans="6:7" x14ac:dyDescent="0.55000000000000004">
      <c r="F198">
        <v>1.9600000000000015</v>
      </c>
      <c r="G198">
        <v>0.13947556877522532</v>
      </c>
    </row>
    <row r="199" spans="6:7" x14ac:dyDescent="0.55000000000000004">
      <c r="F199">
        <v>1.9700000000000015</v>
      </c>
      <c r="G199">
        <v>0.13808081308747308</v>
      </c>
    </row>
    <row r="200" spans="6:7" x14ac:dyDescent="0.55000000000000004">
      <c r="F200">
        <v>1.9800000000000015</v>
      </c>
      <c r="G200">
        <v>0.13670000495659834</v>
      </c>
    </row>
    <row r="201" spans="6:7" x14ac:dyDescent="0.55000000000000004">
      <c r="F201">
        <v>1.9900000000000015</v>
      </c>
      <c r="G201">
        <v>0.13533300490703237</v>
      </c>
    </row>
    <row r="202" spans="6:7" x14ac:dyDescent="0.55000000000000004">
      <c r="F202">
        <v>2.0000000000000013</v>
      </c>
      <c r="G202">
        <v>0.13397967485796206</v>
      </c>
    </row>
    <row r="203" spans="6:7" x14ac:dyDescent="0.55000000000000004">
      <c r="F203">
        <v>2.0100000000000011</v>
      </c>
      <c r="G203">
        <v>0.13263987810938244</v>
      </c>
    </row>
    <row r="204" spans="6:7" x14ac:dyDescent="0.55000000000000004">
      <c r="F204">
        <v>2.0200000000000009</v>
      </c>
      <c r="G204">
        <v>0.1313134793282886</v>
      </c>
    </row>
    <row r="205" spans="6:7" x14ac:dyDescent="0.55000000000000004">
      <c r="F205">
        <v>2.0300000000000007</v>
      </c>
      <c r="G205">
        <v>0.13000034453500572</v>
      </c>
    </row>
    <row r="206" spans="6:7" x14ac:dyDescent="0.55000000000000004">
      <c r="F206">
        <v>2.0400000000000005</v>
      </c>
      <c r="G206">
        <v>0.12870034108965567</v>
      </c>
    </row>
    <row r="207" spans="6:7" x14ac:dyDescent="0.55000000000000004">
      <c r="F207">
        <v>2.0500000000000003</v>
      </c>
      <c r="G207">
        <v>0.12741333767875912</v>
      </c>
    </row>
    <row r="208" spans="6:7" x14ac:dyDescent="0.55000000000000004">
      <c r="F208">
        <v>2.06</v>
      </c>
      <c r="G208">
        <v>0.12613920430197154</v>
      </c>
    </row>
    <row r="209" spans="6:7" x14ac:dyDescent="0.55000000000000004">
      <c r="F209">
        <v>2.0699999999999998</v>
      </c>
      <c r="G209">
        <v>0.12487781225895182</v>
      </c>
    </row>
    <row r="210" spans="6:7" x14ac:dyDescent="0.55000000000000004">
      <c r="F210">
        <v>2.0799999999999996</v>
      </c>
      <c r="G210">
        <v>0.12362903413636231</v>
      </c>
    </row>
    <row r="211" spans="6:7" x14ac:dyDescent="0.55000000000000004">
      <c r="F211">
        <v>2.0899999999999994</v>
      </c>
      <c r="G211">
        <v>0.12239274379499869</v>
      </c>
    </row>
    <row r="212" spans="6:7" x14ac:dyDescent="0.55000000000000004">
      <c r="F212">
        <v>2.0999999999999992</v>
      </c>
      <c r="G212">
        <v>0.12116881635704871</v>
      </c>
    </row>
    <row r="213" spans="6:7" x14ac:dyDescent="0.55000000000000004">
      <c r="F213">
        <v>2.109999999999999</v>
      </c>
      <c r="G213">
        <v>0.11995712819347822</v>
      </c>
    </row>
    <row r="214" spans="6:7" x14ac:dyDescent="0.55000000000000004">
      <c r="F214">
        <v>2.1199999999999988</v>
      </c>
      <c r="G214">
        <v>0.11875755691154344</v>
      </c>
    </row>
    <row r="215" spans="6:7" x14ac:dyDescent="0.55000000000000004">
      <c r="F215">
        <v>2.1299999999999986</v>
      </c>
      <c r="G215">
        <v>0.11756998134242801</v>
      </c>
    </row>
    <row r="216" spans="6:7" x14ac:dyDescent="0.55000000000000004">
      <c r="F216">
        <v>2.1399999999999983</v>
      </c>
      <c r="G216">
        <v>0.11639428152900373</v>
      </c>
    </row>
    <row r="217" spans="6:7" x14ac:dyDescent="0.55000000000000004">
      <c r="F217">
        <v>2.1499999999999981</v>
      </c>
      <c r="G217">
        <v>0.1152303387137137</v>
      </c>
    </row>
    <row r="218" spans="6:7" x14ac:dyDescent="0.55000000000000004">
      <c r="F218">
        <v>2.1599999999999979</v>
      </c>
      <c r="G218">
        <v>0.11407803532657657</v>
      </c>
    </row>
    <row r="219" spans="6:7" x14ac:dyDescent="0.55000000000000004">
      <c r="F219">
        <v>2.1699999999999977</v>
      </c>
      <c r="G219">
        <v>0.11293725497331079</v>
      </c>
    </row>
    <row r="220" spans="6:7" x14ac:dyDescent="0.55000000000000004">
      <c r="F220">
        <v>2.1799999999999975</v>
      </c>
      <c r="G220">
        <v>0.11180788242357768</v>
      </c>
    </row>
    <row r="221" spans="6:7" x14ac:dyDescent="0.55000000000000004">
      <c r="F221">
        <v>2.1899999999999973</v>
      </c>
      <c r="G221">
        <v>0.11068980359934191</v>
      </c>
    </row>
    <row r="222" spans="6:7" x14ac:dyDescent="0.55000000000000004">
      <c r="F222">
        <v>2.1999999999999971</v>
      </c>
      <c r="G222">
        <v>0.10958290556334849</v>
      </c>
    </row>
    <row r="223" spans="6:7" x14ac:dyDescent="0.55000000000000004">
      <c r="F223">
        <v>2.2099999999999969</v>
      </c>
      <c r="G223">
        <v>0.108487076507715</v>
      </c>
    </row>
    <row r="224" spans="6:7" x14ac:dyDescent="0.55000000000000004">
      <c r="F224">
        <v>2.2199999999999966</v>
      </c>
      <c r="G224">
        <v>0.10740220574263784</v>
      </c>
    </row>
    <row r="225" spans="6:7" x14ac:dyDescent="0.55000000000000004">
      <c r="F225">
        <v>2.2299999999999964</v>
      </c>
      <c r="G225">
        <v>0.10632818368521146</v>
      </c>
    </row>
    <row r="226" spans="6:7" x14ac:dyDescent="0.55000000000000004">
      <c r="F226">
        <v>2.2399999999999962</v>
      </c>
      <c r="G226">
        <v>0.10526490184835935</v>
      </c>
    </row>
    <row r="227" spans="6:7" x14ac:dyDescent="0.55000000000000004">
      <c r="F227">
        <v>2.249999999999996</v>
      </c>
      <c r="G227">
        <v>0.10421225282987576</v>
      </c>
    </row>
    <row r="228" spans="6:7" x14ac:dyDescent="0.55000000000000004">
      <c r="F228">
        <v>2.2599999999999958</v>
      </c>
      <c r="G228">
        <v>0.103170130301577</v>
      </c>
    </row>
    <row r="229" spans="6:7" x14ac:dyDescent="0.55000000000000004">
      <c r="F229">
        <v>2.2699999999999956</v>
      </c>
      <c r="G229">
        <v>0.10213842899856122</v>
      </c>
    </row>
    <row r="230" spans="6:7" x14ac:dyDescent="0.55000000000000004">
      <c r="F230">
        <v>2.2799999999999954</v>
      </c>
      <c r="G230">
        <v>0.1011170447085756</v>
      </c>
    </row>
    <row r="231" spans="6:7" x14ac:dyDescent="0.55000000000000004">
      <c r="F231">
        <v>2.2899999999999952</v>
      </c>
      <c r="G231">
        <v>0.10010587426148984</v>
      </c>
    </row>
    <row r="232" spans="6:7" x14ac:dyDescent="0.55000000000000004">
      <c r="F232">
        <v>2.2999999999999949</v>
      </c>
      <c r="G232">
        <v>9.9104815518874942E-2</v>
      </c>
    </row>
    <row r="233" spans="6:7" x14ac:dyDescent="0.55000000000000004">
      <c r="F233">
        <v>2.3099999999999947</v>
      </c>
      <c r="G233">
        <v>9.8113767363686197E-2</v>
      </c>
    </row>
    <row r="234" spans="6:7" x14ac:dyDescent="0.55000000000000004">
      <c r="F234">
        <v>2.3199999999999945</v>
      </c>
      <c r="G234">
        <v>9.7132629690049335E-2</v>
      </c>
    </row>
    <row r="235" spans="6:7" x14ac:dyDescent="0.55000000000000004">
      <c r="F235">
        <v>2.3299999999999943</v>
      </c>
      <c r="G235">
        <v>9.6161303393148836E-2</v>
      </c>
    </row>
    <row r="236" spans="6:7" x14ac:dyDescent="0.55000000000000004">
      <c r="F236">
        <v>2.3399999999999941</v>
      </c>
      <c r="G236">
        <v>9.5199690359217354E-2</v>
      </c>
    </row>
    <row r="237" spans="6:7" x14ac:dyDescent="0.55000000000000004">
      <c r="F237">
        <v>2.3499999999999939</v>
      </c>
      <c r="G237">
        <v>9.4247693455625184E-2</v>
      </c>
    </row>
    <row r="238" spans="6:7" x14ac:dyDescent="0.55000000000000004">
      <c r="F238">
        <v>2.3599999999999937</v>
      </c>
      <c r="G238">
        <v>9.3305216521068934E-2</v>
      </c>
    </row>
    <row r="239" spans="6:7" x14ac:dyDescent="0.55000000000000004">
      <c r="F239">
        <v>2.3699999999999934</v>
      </c>
      <c r="G239">
        <v>9.2372164355858238E-2</v>
      </c>
    </row>
    <row r="240" spans="6:7" x14ac:dyDescent="0.55000000000000004">
      <c r="F240">
        <v>2.3799999999999932</v>
      </c>
      <c r="G240">
        <v>9.1448442712299655E-2</v>
      </c>
    </row>
    <row r="241" spans="6:7" x14ac:dyDescent="0.55000000000000004">
      <c r="F241">
        <v>2.389999999999993</v>
      </c>
      <c r="G241">
        <v>9.0533958285176658E-2</v>
      </c>
    </row>
    <row r="242" spans="6:7" x14ac:dyDescent="0.55000000000000004">
      <c r="F242">
        <v>2.3999999999999928</v>
      </c>
      <c r="G242">
        <v>8.9628618702324886E-2</v>
      </c>
    </row>
    <row r="243" spans="6:7" x14ac:dyDescent="0.55000000000000004">
      <c r="F243">
        <v>2.4099999999999926</v>
      </c>
      <c r="G243">
        <v>8.8732332515301632E-2</v>
      </c>
    </row>
    <row r="244" spans="6:7" x14ac:dyDescent="0.55000000000000004">
      <c r="F244">
        <v>2.4199999999999924</v>
      </c>
      <c r="G244">
        <v>8.7845009190148621E-2</v>
      </c>
    </row>
    <row r="245" spans="6:7" x14ac:dyDescent="0.55000000000000004">
      <c r="F245">
        <v>2.4299999999999922</v>
      </c>
      <c r="G245">
        <v>8.6966559098247131E-2</v>
      </c>
    </row>
    <row r="246" spans="6:7" x14ac:dyDescent="0.55000000000000004">
      <c r="F246">
        <v>2.439999999999992</v>
      </c>
      <c r="G246">
        <v>8.6096893507264655E-2</v>
      </c>
    </row>
    <row r="247" spans="6:7" x14ac:dyDescent="0.55000000000000004">
      <c r="F247">
        <v>2.4499999999999917</v>
      </c>
      <c r="G247">
        <v>8.5235924572192007E-2</v>
      </c>
    </row>
    <row r="248" spans="6:7" x14ac:dyDescent="0.55000000000000004">
      <c r="F248">
        <v>2.4599999999999915</v>
      </c>
      <c r="G248">
        <v>8.4383565326470081E-2</v>
      </c>
    </row>
    <row r="249" spans="6:7" x14ac:dyDescent="0.55000000000000004">
      <c r="F249">
        <v>2.4699999999999913</v>
      </c>
      <c r="G249">
        <v>8.3539729673205373E-2</v>
      </c>
    </row>
    <row r="250" spans="6:7" x14ac:dyDescent="0.55000000000000004">
      <c r="F250">
        <v>2.4799999999999911</v>
      </c>
      <c r="G250">
        <v>8.2704332376473316E-2</v>
      </c>
    </row>
    <row r="251" spans="6:7" x14ac:dyDescent="0.55000000000000004">
      <c r="F251">
        <v>2.4899999999999909</v>
      </c>
      <c r="G251">
        <v>8.1877289052708579E-2</v>
      </c>
    </row>
    <row r="252" spans="6:7" x14ac:dyDescent="0.55000000000000004">
      <c r="F252">
        <v>2.4999999999999907</v>
      </c>
      <c r="G252">
        <v>8.1058516162181488E-2</v>
      </c>
    </row>
    <row r="253" spans="6:7" x14ac:dyDescent="0.55000000000000004">
      <c r="F253">
        <v>2.5099999999999905</v>
      </c>
      <c r="G253">
        <v>8.0247931000559672E-2</v>
      </c>
    </row>
    <row r="254" spans="6:7" x14ac:dyDescent="0.55000000000000004">
      <c r="F254">
        <v>2.5199999999999902</v>
      </c>
      <c r="G254">
        <v>7.9445451690554073E-2</v>
      </c>
    </row>
    <row r="255" spans="6:7" x14ac:dyDescent="0.55000000000000004">
      <c r="F255">
        <v>2.52999999999999</v>
      </c>
      <c r="G255">
        <v>7.8650997173648526E-2</v>
      </c>
    </row>
    <row r="256" spans="6:7" x14ac:dyDescent="0.55000000000000004">
      <c r="F256">
        <v>2.5399999999999898</v>
      </c>
      <c r="G256">
        <v>7.7864487201912039E-2</v>
      </c>
    </row>
    <row r="257" spans="6:7" x14ac:dyDescent="0.55000000000000004">
      <c r="F257">
        <v>2.5499999999999896</v>
      </c>
      <c r="G257">
        <v>7.708584232989292E-2</v>
      </c>
    </row>
    <row r="258" spans="6:7" x14ac:dyDescent="0.55000000000000004">
      <c r="F258">
        <v>2.5599999999999894</v>
      </c>
      <c r="G258">
        <v>7.6314983906593997E-2</v>
      </c>
    </row>
    <row r="259" spans="6:7" x14ac:dyDescent="0.55000000000000004">
      <c r="F259">
        <v>2.5699999999999892</v>
      </c>
      <c r="G259">
        <v>7.5551834067528051E-2</v>
      </c>
    </row>
    <row r="260" spans="6:7" x14ac:dyDescent="0.55000000000000004">
      <c r="F260">
        <v>2.579999999999989</v>
      </c>
      <c r="G260">
        <v>7.4796315726852775E-2</v>
      </c>
    </row>
    <row r="261" spans="6:7" x14ac:dyDescent="0.55000000000000004">
      <c r="F261">
        <v>2.5899999999999888</v>
      </c>
      <c r="G261">
        <v>7.4048352569584253E-2</v>
      </c>
    </row>
    <row r="262" spans="6:7" x14ac:dyDescent="0.55000000000000004">
      <c r="F262">
        <v>2.5999999999999885</v>
      </c>
      <c r="G262">
        <v>7.3307869043888405E-2</v>
      </c>
    </row>
    <row r="263" spans="6:7" x14ac:dyDescent="0.55000000000000004">
      <c r="F263">
        <v>2.6099999999999883</v>
      </c>
      <c r="G263">
        <v>7.257479035344952E-2</v>
      </c>
    </row>
    <row r="264" spans="6:7" x14ac:dyDescent="0.55000000000000004">
      <c r="F264">
        <v>2.6199999999999881</v>
      </c>
      <c r="G264">
        <v>7.1849042449915024E-2</v>
      </c>
    </row>
    <row r="265" spans="6:7" x14ac:dyDescent="0.55000000000000004">
      <c r="F265">
        <v>2.6299999999999879</v>
      </c>
      <c r="G265">
        <v>7.1130552025415877E-2</v>
      </c>
    </row>
    <row r="266" spans="6:7" x14ac:dyDescent="0.55000000000000004">
      <c r="F266">
        <v>2.6399999999999877</v>
      </c>
      <c r="G266">
        <v>7.0419246505161723E-2</v>
      </c>
    </row>
    <row r="267" spans="6:7" x14ac:dyDescent="0.55000000000000004">
      <c r="F267">
        <v>2.6499999999999875</v>
      </c>
      <c r="G267">
        <v>6.9715054040110108E-2</v>
      </c>
    </row>
    <row r="268" spans="6:7" x14ac:dyDescent="0.55000000000000004">
      <c r="F268">
        <v>2.6599999999999873</v>
      </c>
      <c r="G268">
        <v>6.9017903499709002E-2</v>
      </c>
    </row>
    <row r="269" spans="6:7" x14ac:dyDescent="0.55000000000000004">
      <c r="F269">
        <v>2.6699999999999871</v>
      </c>
      <c r="G269">
        <v>6.8327724464711914E-2</v>
      </c>
    </row>
    <row r="270" spans="6:7" x14ac:dyDescent="0.55000000000000004">
      <c r="F270">
        <v>2.6799999999999868</v>
      </c>
      <c r="G270">
        <v>6.7644447220064796E-2</v>
      </c>
    </row>
    <row r="271" spans="6:7" x14ac:dyDescent="0.55000000000000004">
      <c r="F271">
        <v>2.6899999999999866</v>
      </c>
      <c r="G271">
        <v>6.6968002747864144E-2</v>
      </c>
    </row>
    <row r="272" spans="6:7" x14ac:dyDescent="0.55000000000000004">
      <c r="F272">
        <v>2.6999999999999864</v>
      </c>
      <c r="G272">
        <v>6.6298322720385508E-2</v>
      </c>
    </row>
    <row r="273" spans="6:7" x14ac:dyDescent="0.55000000000000004">
      <c r="F273">
        <v>2.7099999999999862</v>
      </c>
      <c r="G273">
        <v>6.5635339493181649E-2</v>
      </c>
    </row>
    <row r="274" spans="6:7" x14ac:dyDescent="0.55000000000000004">
      <c r="F274">
        <v>2.719999999999986</v>
      </c>
      <c r="G274">
        <v>6.4978986098249827E-2</v>
      </c>
    </row>
    <row r="275" spans="6:7" x14ac:dyDescent="0.55000000000000004">
      <c r="F275">
        <v>2.7299999999999858</v>
      </c>
      <c r="G275">
        <v>6.4329196237267336E-2</v>
      </c>
    </row>
    <row r="276" spans="6:7" x14ac:dyDescent="0.55000000000000004">
      <c r="F276">
        <v>2.7399999999999856</v>
      </c>
      <c r="G276">
        <v>6.3685904274894664E-2</v>
      </c>
    </row>
    <row r="277" spans="6:7" x14ac:dyDescent="0.55000000000000004">
      <c r="F277">
        <v>2.7499999999999853</v>
      </c>
      <c r="G277">
        <v>6.3049045232145717E-2</v>
      </c>
    </row>
    <row r="278" spans="6:7" x14ac:dyDescent="0.55000000000000004">
      <c r="F278">
        <v>2.7599999999999851</v>
      </c>
      <c r="G278">
        <v>6.2418554779824262E-2</v>
      </c>
    </row>
    <row r="279" spans="6:7" x14ac:dyDescent="0.55000000000000004">
      <c r="F279">
        <v>2.7699999999999849</v>
      </c>
      <c r="G279">
        <v>6.1794369232026018E-2</v>
      </c>
    </row>
    <row r="280" spans="6:7" x14ac:dyDescent="0.55000000000000004">
      <c r="F280">
        <v>2.7799999999999847</v>
      </c>
      <c r="G280">
        <v>6.1176425539705759E-2</v>
      </c>
    </row>
    <row r="281" spans="6:7" x14ac:dyDescent="0.55000000000000004">
      <c r="F281">
        <v>2.7899999999999845</v>
      </c>
      <c r="G281">
        <v>6.05646612843087E-2</v>
      </c>
    </row>
    <row r="282" spans="6:7" x14ac:dyDescent="0.55000000000000004">
      <c r="F282">
        <v>2.7999999999999843</v>
      </c>
      <c r="G282">
        <v>5.995901467146561E-2</v>
      </c>
    </row>
    <row r="283" spans="6:7" x14ac:dyDescent="0.55000000000000004">
      <c r="F283">
        <v>2.8099999999999841</v>
      </c>
      <c r="G283">
        <v>5.9359424524750952E-2</v>
      </c>
    </row>
    <row r="284" spans="6:7" x14ac:dyDescent="0.55000000000000004">
      <c r="F284">
        <v>2.8199999999999839</v>
      </c>
      <c r="G284">
        <v>5.8765830279503439E-2</v>
      </c>
    </row>
    <row r="285" spans="6:7" x14ac:dyDescent="0.55000000000000004">
      <c r="F285">
        <v>2.8299999999999836</v>
      </c>
      <c r="G285">
        <v>5.8178171976708402E-2</v>
      </c>
    </row>
    <row r="286" spans="6:7" x14ac:dyDescent="0.55000000000000004">
      <c r="F286">
        <v>2.8399999999999834</v>
      </c>
      <c r="G286">
        <v>5.759639025694132E-2</v>
      </c>
    </row>
    <row r="287" spans="6:7" x14ac:dyDescent="0.55000000000000004">
      <c r="F287">
        <v>2.8499999999999832</v>
      </c>
      <c r="G287">
        <v>5.7020426354371906E-2</v>
      </c>
    </row>
    <row r="288" spans="6:7" x14ac:dyDescent="0.55000000000000004">
      <c r="F288">
        <v>2.859999999999983</v>
      </c>
      <c r="G288">
        <v>5.6450222090828187E-2</v>
      </c>
    </row>
    <row r="289" spans="6:7" x14ac:dyDescent="0.55000000000000004">
      <c r="F289">
        <v>2.8699999999999828</v>
      </c>
      <c r="G289">
        <v>5.5885719869919907E-2</v>
      </c>
    </row>
    <row r="290" spans="6:7" x14ac:dyDescent="0.55000000000000004">
      <c r="F290">
        <v>2.8799999999999826</v>
      </c>
      <c r="G290">
        <v>5.5326862671220708E-2</v>
      </c>
    </row>
    <row r="291" spans="6:7" x14ac:dyDescent="0.55000000000000004">
      <c r="F291">
        <v>2.8899999999999824</v>
      </c>
      <c r="G291">
        <v>5.4773594044508503E-2</v>
      </c>
    </row>
    <row r="292" spans="6:7" x14ac:dyDescent="0.55000000000000004">
      <c r="F292">
        <v>2.8999999999999821</v>
      </c>
      <c r="G292">
        <v>5.4225858104063419E-2</v>
      </c>
    </row>
    <row r="293" spans="6:7" x14ac:dyDescent="0.55000000000000004">
      <c r="F293">
        <v>2.9099999999999819</v>
      </c>
      <c r="G293">
        <v>5.3683599523022783E-2</v>
      </c>
    </row>
    <row r="294" spans="6:7" x14ac:dyDescent="0.55000000000000004">
      <c r="F294">
        <v>2.9199999999999817</v>
      </c>
      <c r="G294">
        <v>5.3146763527792552E-2</v>
      </c>
    </row>
    <row r="295" spans="6:7" x14ac:dyDescent="0.55000000000000004">
      <c r="F295">
        <v>2.9299999999999815</v>
      </c>
      <c r="G295">
        <v>5.2615295892514624E-2</v>
      </c>
    </row>
    <row r="296" spans="6:7" x14ac:dyDescent="0.55000000000000004">
      <c r="F296">
        <v>2.9399999999999813</v>
      </c>
      <c r="G296">
        <v>5.2089142933589475E-2</v>
      </c>
    </row>
    <row r="297" spans="6:7" x14ac:dyDescent="0.55000000000000004">
      <c r="F297">
        <v>2.9499999999999811</v>
      </c>
      <c r="G297">
        <v>5.1568251504253579E-2</v>
      </c>
    </row>
    <row r="298" spans="6:7" x14ac:dyDescent="0.55000000000000004">
      <c r="F298">
        <v>2.9599999999999809</v>
      </c>
      <c r="G298">
        <v>5.1052568989211046E-2</v>
      </c>
    </row>
    <row r="299" spans="6:7" x14ac:dyDescent="0.55000000000000004">
      <c r="F299">
        <v>2.9699999999999807</v>
      </c>
      <c r="G299">
        <v>5.0542043299318933E-2</v>
      </c>
    </row>
    <row r="300" spans="6:7" x14ac:dyDescent="0.55000000000000004">
      <c r="F300">
        <v>2.9799999999999804</v>
      </c>
      <c r="G300">
        <v>5.0036622866325743E-2</v>
      </c>
    </row>
    <row r="301" spans="6:7" x14ac:dyDescent="0.55000000000000004">
      <c r="F301">
        <v>2.9899999999999802</v>
      </c>
      <c r="G301">
        <v>4.9536256637662486E-2</v>
      </c>
    </row>
    <row r="302" spans="6:7" x14ac:dyDescent="0.55000000000000004">
      <c r="F302">
        <v>2.99999999999998</v>
      </c>
      <c r="G302">
        <v>4.9040894071285861E-2</v>
      </c>
    </row>
    <row r="303" spans="6:7" x14ac:dyDescent="0.55000000000000004">
      <c r="F303">
        <v>3.0099999999999798</v>
      </c>
      <c r="G303">
        <v>4.8550485130573001E-2</v>
      </c>
    </row>
    <row r="304" spans="6:7" x14ac:dyDescent="0.55000000000000004">
      <c r="F304">
        <v>3.0199999999999796</v>
      </c>
      <c r="G304">
        <v>4.8064980279267269E-2</v>
      </c>
    </row>
    <row r="305" spans="6:7" x14ac:dyDescent="0.55000000000000004">
      <c r="F305">
        <v>3.0299999999999794</v>
      </c>
      <c r="G305">
        <v>4.7584330476474597E-2</v>
      </c>
    </row>
    <row r="306" spans="6:7" x14ac:dyDescent="0.55000000000000004">
      <c r="F306">
        <v>3.0399999999999792</v>
      </c>
      <c r="G306">
        <v>4.7108487171709852E-2</v>
      </c>
    </row>
    <row r="307" spans="6:7" x14ac:dyDescent="0.55000000000000004">
      <c r="F307">
        <v>3.049999999999979</v>
      </c>
      <c r="G307">
        <v>4.6637402299992754E-2</v>
      </c>
    </row>
    <row r="308" spans="6:7" x14ac:dyDescent="0.55000000000000004">
      <c r="F308">
        <v>3.0599999999999787</v>
      </c>
      <c r="G308">
        <v>4.6171028276992827E-2</v>
      </c>
    </row>
    <row r="309" spans="6:7" x14ac:dyDescent="0.55000000000000004">
      <c r="F309">
        <v>3.0699999999999785</v>
      </c>
      <c r="G309">
        <v>4.5709317994222898E-2</v>
      </c>
    </row>
    <row r="310" spans="6:7" x14ac:dyDescent="0.55000000000000004">
      <c r="F310">
        <v>3.0799999999999783</v>
      </c>
      <c r="G310">
        <v>4.5252224814280671E-2</v>
      </c>
    </row>
    <row r="311" spans="6:7" x14ac:dyDescent="0.55000000000000004">
      <c r="F311">
        <v>3.0899999999999781</v>
      </c>
      <c r="G311">
        <v>4.4799702566137863E-2</v>
      </c>
    </row>
    <row r="312" spans="6:7" x14ac:dyDescent="0.55000000000000004">
      <c r="F312">
        <v>3.0999999999999779</v>
      </c>
      <c r="G312">
        <v>4.4351705540476481E-2</v>
      </c>
    </row>
    <row r="313" spans="6:7" x14ac:dyDescent="0.55000000000000004">
      <c r="F313">
        <v>3.1099999999999777</v>
      </c>
      <c r="G313">
        <v>4.390818848507172E-2</v>
      </c>
    </row>
    <row r="314" spans="6:7" x14ac:dyDescent="0.55000000000000004">
      <c r="F314">
        <v>3.1199999999999775</v>
      </c>
      <c r="G314">
        <v>4.3469106600221005E-2</v>
      </c>
    </row>
    <row r="315" spans="6:7" x14ac:dyDescent="0.55000000000000004">
      <c r="F315">
        <v>3.1299999999999772</v>
      </c>
      <c r="G315">
        <v>4.3034415534218794E-2</v>
      </c>
    </row>
    <row r="316" spans="6:7" x14ac:dyDescent="0.55000000000000004">
      <c r="F316">
        <v>3.139999999999977</v>
      </c>
      <c r="G316">
        <v>4.2604071378876604E-2</v>
      </c>
    </row>
    <row r="317" spans="6:7" x14ac:dyDescent="0.55000000000000004">
      <c r="F317">
        <v>3.1499999999999768</v>
      </c>
      <c r="G317">
        <v>4.2178030665087837E-2</v>
      </c>
    </row>
    <row r="318" spans="6:7" x14ac:dyDescent="0.55000000000000004">
      <c r="F318">
        <v>3.1599999999999766</v>
      </c>
      <c r="G318">
        <v>4.1756250358436955E-2</v>
      </c>
    </row>
    <row r="319" spans="6:7" x14ac:dyDescent="0.55000000000000004">
      <c r="F319">
        <v>3.1699999999999764</v>
      </c>
      <c r="G319">
        <v>4.1338687854852584E-2</v>
      </c>
    </row>
    <row r="320" spans="6:7" x14ac:dyDescent="0.55000000000000004">
      <c r="F320">
        <v>3.1799999999999762</v>
      </c>
      <c r="G320">
        <v>4.0925300976304056E-2</v>
      </c>
    </row>
    <row r="321" spans="6:7" x14ac:dyDescent="0.55000000000000004">
      <c r="F321">
        <v>3.189999999999976</v>
      </c>
      <c r="G321">
        <v>4.0516047966541013E-2</v>
      </c>
    </row>
    <row r="322" spans="6:7" x14ac:dyDescent="0.55000000000000004">
      <c r="F322">
        <v>3.1999999999999758</v>
      </c>
      <c r="G322">
        <v>4.01108874868756E-2</v>
      </c>
    </row>
    <row r="323" spans="6:7" x14ac:dyDescent="0.55000000000000004">
      <c r="F323">
        <v>3.2099999999999755</v>
      </c>
      <c r="G323">
        <v>3.9709778612006842E-2</v>
      </c>
    </row>
    <row r="324" spans="6:7" x14ac:dyDescent="0.55000000000000004">
      <c r="F324">
        <v>3.2199999999999753</v>
      </c>
      <c r="G324">
        <v>3.9312680825886771E-2</v>
      </c>
    </row>
    <row r="325" spans="6:7" x14ac:dyDescent="0.55000000000000004">
      <c r="F325">
        <v>3.2299999999999751</v>
      </c>
      <c r="G325">
        <v>3.8919554017627901E-2</v>
      </c>
    </row>
    <row r="326" spans="6:7" x14ac:dyDescent="0.55000000000000004">
      <c r="F326">
        <v>3.2399999999999749</v>
      </c>
      <c r="G326">
        <v>3.8530358477451621E-2</v>
      </c>
    </row>
    <row r="327" spans="6:7" x14ac:dyDescent="0.55000000000000004">
      <c r="F327">
        <v>3.2499999999999747</v>
      </c>
      <c r="G327">
        <v>3.8145054892677104E-2</v>
      </c>
    </row>
    <row r="328" spans="6:7" x14ac:dyDescent="0.55000000000000004">
      <c r="F328">
        <v>3.2599999999999745</v>
      </c>
      <c r="G328">
        <v>3.7763604343750333E-2</v>
      </c>
    </row>
    <row r="329" spans="6:7" x14ac:dyDescent="0.55000000000000004">
      <c r="F329">
        <v>3.2699999999999743</v>
      </c>
      <c r="G329">
        <v>3.7385968300312829E-2</v>
      </c>
    </row>
    <row r="330" spans="6:7" x14ac:dyDescent="0.55000000000000004">
      <c r="F330">
        <v>3.279999999999974</v>
      </c>
      <c r="G330">
        <v>3.7012108617309698E-2</v>
      </c>
    </row>
    <row r="331" spans="6:7" x14ac:dyDescent="0.55000000000000004">
      <c r="F331">
        <v>3.2899999999999738</v>
      </c>
      <c r="G331">
        <v>3.6641987531136601E-2</v>
      </c>
    </row>
    <row r="332" spans="6:7" x14ac:dyDescent="0.55000000000000004">
      <c r="F332">
        <v>3.2999999999999736</v>
      </c>
      <c r="G332">
        <v>3.6275567655825236E-2</v>
      </c>
    </row>
    <row r="333" spans="6:7" x14ac:dyDescent="0.55000000000000004">
      <c r="F333">
        <v>3.3099999999999734</v>
      </c>
      <c r="G333">
        <v>3.5912811979266983E-2</v>
      </c>
    </row>
    <row r="334" spans="6:7" x14ac:dyDescent="0.55000000000000004">
      <c r="F334">
        <v>3.3199999999999732</v>
      </c>
      <c r="G334">
        <v>3.5553683859474314E-2</v>
      </c>
    </row>
    <row r="335" spans="6:7" x14ac:dyDescent="0.55000000000000004">
      <c r="F335">
        <v>3.329999999999973</v>
      </c>
      <c r="G335">
        <v>3.5198147020879568E-2</v>
      </c>
    </row>
    <row r="336" spans="6:7" x14ac:dyDescent="0.55000000000000004">
      <c r="F336">
        <v>3.3399999999999728</v>
      </c>
      <c r="G336">
        <v>3.4846165550670771E-2</v>
      </c>
    </row>
    <row r="337" spans="6:7" x14ac:dyDescent="0.55000000000000004">
      <c r="F337">
        <v>3.3499999999999726</v>
      </c>
      <c r="G337">
        <v>3.4497703895164065E-2</v>
      </c>
    </row>
    <row r="338" spans="6:7" x14ac:dyDescent="0.55000000000000004">
      <c r="F338">
        <v>3.3599999999999723</v>
      </c>
      <c r="G338">
        <v>3.4152726856212422E-2</v>
      </c>
    </row>
    <row r="339" spans="6:7" x14ac:dyDescent="0.55000000000000004">
      <c r="F339">
        <v>3.3699999999999721</v>
      </c>
      <c r="G339">
        <v>3.3811199587650297E-2</v>
      </c>
    </row>
    <row r="340" spans="6:7" x14ac:dyDescent="0.55000000000000004">
      <c r="F340">
        <v>3.3799999999999719</v>
      </c>
      <c r="G340">
        <v>3.3473087591773795E-2</v>
      </c>
    </row>
    <row r="341" spans="6:7" x14ac:dyDescent="0.55000000000000004">
      <c r="F341">
        <v>3.3899999999999717</v>
      </c>
      <c r="G341">
        <v>3.3138356715856056E-2</v>
      </c>
    </row>
    <row r="342" spans="6:7" x14ac:dyDescent="0.55000000000000004">
      <c r="F342">
        <v>3.3999999999999715</v>
      </c>
      <c r="G342">
        <v>3.2806973148697495E-2</v>
      </c>
    </row>
    <row r="343" spans="6:7" x14ac:dyDescent="0.55000000000000004">
      <c r="F343">
        <v>3.4099999999999713</v>
      </c>
      <c r="G343">
        <v>3.247890341721052E-2</v>
      </c>
    </row>
    <row r="344" spans="6:7" x14ac:dyDescent="0.55000000000000004">
      <c r="F344">
        <v>3.4199999999999711</v>
      </c>
      <c r="G344">
        <v>3.2154114383038411E-2</v>
      </c>
    </row>
    <row r="345" spans="6:7" x14ac:dyDescent="0.55000000000000004">
      <c r="F345">
        <v>3.4299999999999708</v>
      </c>
      <c r="G345">
        <v>3.1832573239208024E-2</v>
      </c>
    </row>
    <row r="346" spans="6:7" x14ac:dyDescent="0.55000000000000004">
      <c r="F346">
        <v>3.4399999999999706</v>
      </c>
      <c r="G346">
        <v>3.1514247506815946E-2</v>
      </c>
    </row>
    <row r="347" spans="6:7" x14ac:dyDescent="0.55000000000000004">
      <c r="F347">
        <v>3.4499999999999704</v>
      </c>
      <c r="G347">
        <v>3.1199105031747786E-2</v>
      </c>
    </row>
    <row r="348" spans="6:7" x14ac:dyDescent="0.55000000000000004">
      <c r="F348">
        <v>3.4599999999999702</v>
      </c>
      <c r="G348">
        <v>3.0887113981430309E-2</v>
      </c>
    </row>
    <row r="349" spans="6:7" x14ac:dyDescent="0.55000000000000004">
      <c r="F349">
        <v>3.46999999999997</v>
      </c>
      <c r="G349">
        <v>3.0578242841616005E-2</v>
      </c>
    </row>
    <row r="350" spans="6:7" x14ac:dyDescent="0.55000000000000004">
      <c r="F350">
        <v>3.4799999999999698</v>
      </c>
      <c r="G350">
        <v>3.0272460413199843E-2</v>
      </c>
    </row>
    <row r="351" spans="6:7" x14ac:dyDescent="0.55000000000000004">
      <c r="F351">
        <v>3.4899999999999696</v>
      </c>
      <c r="G351">
        <v>2.9969735809067845E-2</v>
      </c>
    </row>
    <row r="352" spans="6:7" x14ac:dyDescent="0.55000000000000004">
      <c r="F352">
        <v>3.4999999999999694</v>
      </c>
      <c r="G352">
        <v>2.9670038450977168E-2</v>
      </c>
    </row>
    <row r="353" spans="6:7" x14ac:dyDescent="0.55000000000000004">
      <c r="F353">
        <v>3.5099999999999691</v>
      </c>
      <c r="G353">
        <v>2.9373338066467396E-2</v>
      </c>
    </row>
    <row r="354" spans="6:7" x14ac:dyDescent="0.55000000000000004">
      <c r="F354">
        <v>3.5199999999999689</v>
      </c>
      <c r="G354">
        <v>2.9079604685802722E-2</v>
      </c>
    </row>
    <row r="355" spans="6:7" x14ac:dyDescent="0.55000000000000004">
      <c r="F355">
        <v>3.5299999999999687</v>
      </c>
      <c r="G355">
        <v>2.8788808638944695E-2</v>
      </c>
    </row>
    <row r="356" spans="6:7" x14ac:dyDescent="0.55000000000000004">
      <c r="F356">
        <v>3.5399999999999685</v>
      </c>
      <c r="G356">
        <v>2.8500920552555247E-2</v>
      </c>
    </row>
    <row r="357" spans="6:7" x14ac:dyDescent="0.55000000000000004">
      <c r="F357">
        <v>3.5499999999999683</v>
      </c>
      <c r="G357">
        <v>2.8215911347029693E-2</v>
      </c>
    </row>
    <row r="358" spans="6:7" x14ac:dyDescent="0.55000000000000004">
      <c r="F358">
        <v>3.5599999999999681</v>
      </c>
      <c r="G358">
        <v>2.7933752233559397E-2</v>
      </c>
    </row>
    <row r="359" spans="6:7" x14ac:dyDescent="0.55000000000000004">
      <c r="F359">
        <v>3.5699999999999679</v>
      </c>
      <c r="G359">
        <v>2.7654414711223804E-2</v>
      </c>
    </row>
    <row r="360" spans="6:7" x14ac:dyDescent="0.55000000000000004">
      <c r="F360">
        <v>3.5799999999999677</v>
      </c>
      <c r="G360">
        <v>2.7377870564111565E-2</v>
      </c>
    </row>
    <row r="361" spans="6:7" x14ac:dyDescent="0.55000000000000004">
      <c r="F361">
        <v>3.5899999999999674</v>
      </c>
      <c r="G361">
        <v>2.7104091858470448E-2</v>
      </c>
    </row>
    <row r="362" spans="6:7" x14ac:dyDescent="0.55000000000000004">
      <c r="F362">
        <v>3.5999999999999672</v>
      </c>
      <c r="G362">
        <v>2.6833050939885743E-2</v>
      </c>
    </row>
    <row r="363" spans="6:7" x14ac:dyDescent="0.55000000000000004">
      <c r="F363">
        <v>3.609999999999967</v>
      </c>
      <c r="G363">
        <v>2.6564720430486886E-2</v>
      </c>
    </row>
    <row r="364" spans="6:7" x14ac:dyDescent="0.55000000000000004">
      <c r="F364">
        <v>3.6199999999999668</v>
      </c>
      <c r="G364">
        <v>2.6299073226182017E-2</v>
      </c>
    </row>
    <row r="365" spans="6:7" x14ac:dyDescent="0.55000000000000004">
      <c r="F365">
        <v>3.6299999999999666</v>
      </c>
      <c r="G365">
        <v>2.6036082493920195E-2</v>
      </c>
    </row>
    <row r="366" spans="6:7" x14ac:dyDescent="0.55000000000000004">
      <c r="F366">
        <v>3.6399999999999664</v>
      </c>
      <c r="G366">
        <v>2.5775721668980994E-2</v>
      </c>
    </row>
    <row r="367" spans="6:7" x14ac:dyDescent="0.55000000000000004">
      <c r="F367">
        <v>3.6499999999999662</v>
      </c>
      <c r="G367">
        <v>2.5517964452291184E-2</v>
      </c>
    </row>
    <row r="368" spans="6:7" x14ac:dyDescent="0.55000000000000004">
      <c r="F368">
        <v>3.6599999999999659</v>
      </c>
      <c r="G368">
        <v>2.5262784807768272E-2</v>
      </c>
    </row>
    <row r="369" spans="6:7" x14ac:dyDescent="0.55000000000000004">
      <c r="F369">
        <v>3.6699999999999657</v>
      </c>
      <c r="G369">
        <v>2.501015695969059E-2</v>
      </c>
    </row>
    <row r="370" spans="6:7" x14ac:dyDescent="0.55000000000000004">
      <c r="F370">
        <v>3.6799999999999655</v>
      </c>
      <c r="G370">
        <v>2.4760055390093683E-2</v>
      </c>
    </row>
    <row r="371" spans="6:7" x14ac:dyDescent="0.55000000000000004">
      <c r="F371">
        <v>3.6899999999999653</v>
      </c>
      <c r="G371">
        <v>2.4512454836192746E-2</v>
      </c>
    </row>
    <row r="372" spans="6:7" x14ac:dyDescent="0.55000000000000004">
      <c r="F372">
        <v>3.6999999999999651</v>
      </c>
      <c r="G372">
        <v>2.4267330287830818E-2</v>
      </c>
    </row>
    <row r="373" spans="6:7" x14ac:dyDescent="0.55000000000000004">
      <c r="F373">
        <v>3.7099999999999649</v>
      </c>
      <c r="G373">
        <v>2.402465698495251E-2</v>
      </c>
    </row>
    <row r="374" spans="6:7" x14ac:dyDescent="0.55000000000000004">
      <c r="F374">
        <v>3.7199999999999647</v>
      </c>
      <c r="G374">
        <v>2.3784410415102986E-2</v>
      </c>
    </row>
    <row r="375" spans="6:7" x14ac:dyDescent="0.55000000000000004">
      <c r="F375">
        <v>3.7299999999999645</v>
      </c>
      <c r="G375">
        <v>2.3546566310951957E-2</v>
      </c>
    </row>
    <row r="376" spans="6:7" x14ac:dyDescent="0.55000000000000004">
      <c r="F376">
        <v>3.7399999999999642</v>
      </c>
      <c r="G376">
        <v>2.3311100647842437E-2</v>
      </c>
    </row>
    <row r="377" spans="6:7" x14ac:dyDescent="0.55000000000000004">
      <c r="F377">
        <v>3.749999999999964</v>
      </c>
      <c r="G377">
        <v>2.3077989641364014E-2</v>
      </c>
    </row>
    <row r="378" spans="6:7" x14ac:dyDescent="0.55000000000000004">
      <c r="F378">
        <v>3.7599999999999638</v>
      </c>
      <c r="G378">
        <v>2.2847209744950372E-2</v>
      </c>
    </row>
    <row r="379" spans="6:7" x14ac:dyDescent="0.55000000000000004">
      <c r="F379">
        <v>3.7699999999999636</v>
      </c>
      <c r="G379">
        <v>2.2618737647500869E-2</v>
      </c>
    </row>
    <row r="380" spans="6:7" x14ac:dyDescent="0.55000000000000004">
      <c r="F380">
        <v>3.7799999999999634</v>
      </c>
      <c r="G380">
        <v>2.2392550271025859E-2</v>
      </c>
    </row>
    <row r="381" spans="6:7" x14ac:dyDescent="0.55000000000000004">
      <c r="F381">
        <v>3.7899999999999632</v>
      </c>
      <c r="G381">
        <v>2.21686247683156E-2</v>
      </c>
    </row>
    <row r="382" spans="6:7" x14ac:dyDescent="0.55000000000000004">
      <c r="F382">
        <v>3.799999999999963</v>
      </c>
      <c r="G382">
        <v>2.1946938520632443E-2</v>
      </c>
    </row>
    <row r="383" spans="6:7" x14ac:dyDescent="0.55000000000000004">
      <c r="F383">
        <v>3.8099999999999627</v>
      </c>
      <c r="G383">
        <v>2.1727469135426117E-2</v>
      </c>
    </row>
    <row r="384" spans="6:7" x14ac:dyDescent="0.55000000000000004">
      <c r="F384">
        <v>3.8199999999999625</v>
      </c>
      <c r="G384">
        <v>2.1510194444071856E-2</v>
      </c>
    </row>
    <row r="385" spans="6:7" x14ac:dyDescent="0.55000000000000004">
      <c r="F385">
        <v>3.8299999999999623</v>
      </c>
      <c r="G385">
        <v>2.1295092499631137E-2</v>
      </c>
    </row>
    <row r="386" spans="6:7" x14ac:dyDescent="0.55000000000000004">
      <c r="F386">
        <v>3.8399999999999621</v>
      </c>
      <c r="G386">
        <v>2.1082141574634825E-2</v>
      </c>
    </row>
    <row r="387" spans="6:7" x14ac:dyDescent="0.55000000000000004">
      <c r="F387">
        <v>3.8499999999999619</v>
      </c>
      <c r="G387">
        <v>2.0871320158888478E-2</v>
      </c>
    </row>
    <row r="388" spans="6:7" x14ac:dyDescent="0.55000000000000004">
      <c r="F388">
        <v>3.8599999999999617</v>
      </c>
      <c r="G388">
        <v>2.0662606957299594E-2</v>
      </c>
    </row>
    <row r="389" spans="6:7" x14ac:dyDescent="0.55000000000000004">
      <c r="F389">
        <v>3.8699999999999615</v>
      </c>
      <c r="G389">
        <v>2.0455980887726599E-2</v>
      </c>
    </row>
    <row r="390" spans="6:7" x14ac:dyDescent="0.55000000000000004">
      <c r="F390">
        <v>3.8799999999999613</v>
      </c>
      <c r="G390">
        <v>2.0251421078849332E-2</v>
      </c>
    </row>
    <row r="391" spans="6:7" x14ac:dyDescent="0.55000000000000004">
      <c r="F391">
        <v>3.889999999999961</v>
      </c>
      <c r="G391">
        <v>2.004890686806084E-2</v>
      </c>
    </row>
    <row r="392" spans="6:7" x14ac:dyDescent="0.55000000000000004">
      <c r="F392">
        <v>3.8999999999999608</v>
      </c>
      <c r="G392">
        <v>1.9848417799380232E-2</v>
      </c>
    </row>
    <row r="393" spans="6:7" x14ac:dyDescent="0.55000000000000004">
      <c r="F393">
        <v>3.9099999999999606</v>
      </c>
      <c r="G393">
        <v>1.964993362138643E-2</v>
      </c>
    </row>
    <row r="394" spans="6:7" x14ac:dyDescent="0.55000000000000004">
      <c r="F394">
        <v>3.9199999999999604</v>
      </c>
      <c r="G394">
        <v>1.9453434285172565E-2</v>
      </c>
    </row>
    <row r="395" spans="6:7" x14ac:dyDescent="0.55000000000000004">
      <c r="F395">
        <v>3.9299999999999602</v>
      </c>
      <c r="G395">
        <v>1.9258899942320839E-2</v>
      </c>
    </row>
    <row r="396" spans="6:7" x14ac:dyDescent="0.55000000000000004">
      <c r="F396">
        <v>3.93999999999996</v>
      </c>
      <c r="G396">
        <v>1.9066310942897631E-2</v>
      </c>
    </row>
    <row r="397" spans="6:7" x14ac:dyDescent="0.55000000000000004">
      <c r="F397">
        <v>3.9499999999999598</v>
      </c>
      <c r="G397">
        <v>1.8875647833468654E-2</v>
      </c>
    </row>
    <row r="398" spans="6:7" x14ac:dyDescent="0.55000000000000004">
      <c r="F398">
        <v>3.9599999999999596</v>
      </c>
      <c r="G398">
        <v>1.8686891355133968E-2</v>
      </c>
    </row>
    <row r="399" spans="6:7" x14ac:dyDescent="0.55000000000000004">
      <c r="F399">
        <v>3.9699999999999593</v>
      </c>
      <c r="G399">
        <v>1.8500022441582629E-2</v>
      </c>
    </row>
    <row r="400" spans="6:7" x14ac:dyDescent="0.55000000000000004">
      <c r="F400">
        <v>3.9799999999999591</v>
      </c>
      <c r="G400">
        <v>1.8315022217166802E-2</v>
      </c>
    </row>
    <row r="401" spans="6:7" x14ac:dyDescent="0.55000000000000004">
      <c r="F401">
        <v>3.9899999999999589</v>
      </c>
      <c r="G401">
        <v>1.8131871994995136E-2</v>
      </c>
    </row>
    <row r="402" spans="6:7" x14ac:dyDescent="0.55000000000000004">
      <c r="F402">
        <v>3.9999999999999587</v>
      </c>
      <c r="G402">
        <v>1.7950553275045186E-2</v>
      </c>
    </row>
    <row r="403" spans="6:7" x14ac:dyDescent="0.55000000000000004">
      <c r="F403">
        <v>4.0099999999999589</v>
      </c>
      <c r="G403">
        <v>1.7771047742294734E-2</v>
      </c>
    </row>
    <row r="404" spans="6:7" x14ac:dyDescent="0.55000000000000004">
      <c r="F404">
        <v>4.0199999999999587</v>
      </c>
      <c r="G404">
        <v>1.7593337264871788E-2</v>
      </c>
    </row>
    <row r="405" spans="6:7" x14ac:dyDescent="0.55000000000000004">
      <c r="F405">
        <v>4.0299999999999585</v>
      </c>
      <c r="G405">
        <v>1.7417403892223071E-2</v>
      </c>
    </row>
    <row r="406" spans="6:7" x14ac:dyDescent="0.55000000000000004">
      <c r="F406">
        <v>4.0399999999999583</v>
      </c>
      <c r="G406">
        <v>1.7243229853300842E-2</v>
      </c>
    </row>
    <row r="407" spans="6:7" x14ac:dyDescent="0.55000000000000004">
      <c r="F407">
        <v>4.0499999999999581</v>
      </c>
      <c r="G407">
        <v>1.7070797554767835E-2</v>
      </c>
    </row>
    <row r="408" spans="6:7" x14ac:dyDescent="0.55000000000000004">
      <c r="F408">
        <v>4.0599999999999579</v>
      </c>
      <c r="G408">
        <v>1.6900089579220155E-2</v>
      </c>
    </row>
    <row r="409" spans="6:7" x14ac:dyDescent="0.55000000000000004">
      <c r="F409">
        <v>4.0699999999999577</v>
      </c>
      <c r="G409">
        <v>1.6731088683427955E-2</v>
      </c>
    </row>
    <row r="410" spans="6:7" x14ac:dyDescent="0.55000000000000004">
      <c r="F410">
        <v>4.0799999999999574</v>
      </c>
      <c r="G410">
        <v>1.6563777796593675E-2</v>
      </c>
    </row>
    <row r="411" spans="6:7" x14ac:dyDescent="0.55000000000000004">
      <c r="F411">
        <v>4.0899999999999572</v>
      </c>
      <c r="G411">
        <v>1.6398140018627737E-2</v>
      </c>
    </row>
    <row r="412" spans="6:7" x14ac:dyDescent="0.55000000000000004">
      <c r="F412">
        <v>4.099999999999957</v>
      </c>
      <c r="G412">
        <v>1.623415861844146E-2</v>
      </c>
    </row>
    <row r="413" spans="6:7" x14ac:dyDescent="0.55000000000000004">
      <c r="F413">
        <v>4.1099999999999568</v>
      </c>
      <c r="G413">
        <v>1.6071817032257046E-2</v>
      </c>
    </row>
    <row r="414" spans="6:7" x14ac:dyDescent="0.55000000000000004">
      <c r="F414">
        <v>4.1199999999999566</v>
      </c>
      <c r="G414">
        <v>1.5911098861934477E-2</v>
      </c>
    </row>
    <row r="415" spans="6:7" x14ac:dyDescent="0.55000000000000004">
      <c r="F415">
        <v>4.1299999999999564</v>
      </c>
      <c r="G415">
        <v>1.5751987873315134E-2</v>
      </c>
    </row>
    <row r="416" spans="6:7" x14ac:dyDescent="0.55000000000000004">
      <c r="F416">
        <v>4.1399999999999562</v>
      </c>
      <c r="G416">
        <v>1.5594467994581983E-2</v>
      </c>
    </row>
    <row r="417" spans="6:7" x14ac:dyDescent="0.55000000000000004">
      <c r="F417">
        <v>4.1499999999999559</v>
      </c>
      <c r="G417">
        <v>1.5438523314636163E-2</v>
      </c>
    </row>
    <row r="418" spans="6:7" x14ac:dyDescent="0.55000000000000004">
      <c r="F418">
        <v>4.1599999999999557</v>
      </c>
      <c r="G418">
        <v>1.5284138081489802E-2</v>
      </c>
    </row>
    <row r="419" spans="6:7" x14ac:dyDescent="0.55000000000000004">
      <c r="F419">
        <v>4.1699999999999555</v>
      </c>
      <c r="G419">
        <v>1.5131296700674904E-2</v>
      </c>
    </row>
    <row r="420" spans="6:7" x14ac:dyDescent="0.55000000000000004">
      <c r="F420">
        <v>4.1799999999999553</v>
      </c>
      <c r="G420">
        <v>1.4979983733668155E-2</v>
      </c>
    </row>
    <row r="421" spans="6:7" x14ac:dyDescent="0.55000000000000004">
      <c r="F421">
        <v>4.1899999999999551</v>
      </c>
      <c r="G421">
        <v>1.4830183896331473E-2</v>
      </c>
    </row>
    <row r="422" spans="6:7" x14ac:dyDescent="0.55000000000000004">
      <c r="F422">
        <v>4.1999999999999549</v>
      </c>
      <c r="G422">
        <v>1.4681882057368157E-2</v>
      </c>
    </row>
    <row r="423" spans="6:7" x14ac:dyDescent="0.55000000000000004">
      <c r="F423">
        <v>4.2099999999999547</v>
      </c>
      <c r="G423">
        <v>1.4535063236794475E-2</v>
      </c>
    </row>
    <row r="424" spans="6:7" x14ac:dyDescent="0.55000000000000004">
      <c r="F424">
        <v>4.2199999999999545</v>
      </c>
      <c r="G424">
        <v>1.438971260442653E-2</v>
      </c>
    </row>
    <row r="425" spans="6:7" x14ac:dyDescent="0.55000000000000004">
      <c r="F425">
        <v>4.2299999999999542</v>
      </c>
      <c r="G425">
        <v>1.4245815478382265E-2</v>
      </c>
    </row>
    <row r="426" spans="6:7" x14ac:dyDescent="0.55000000000000004">
      <c r="F426">
        <v>4.239999999999954</v>
      </c>
      <c r="G426">
        <v>1.4103357323598442E-2</v>
      </c>
    </row>
    <row r="427" spans="6:7" x14ac:dyDescent="0.55000000000000004">
      <c r="F427">
        <v>4.2499999999999538</v>
      </c>
      <c r="G427">
        <v>1.3962323750362457E-2</v>
      </c>
    </row>
    <row r="428" spans="6:7" x14ac:dyDescent="0.55000000000000004">
      <c r="F428">
        <v>4.2599999999999536</v>
      </c>
      <c r="G428">
        <v>1.3822700512858832E-2</v>
      </c>
    </row>
    <row r="429" spans="6:7" x14ac:dyDescent="0.55000000000000004">
      <c r="F429">
        <v>4.2699999999999534</v>
      </c>
      <c r="G429">
        <v>1.3684473507730244E-2</v>
      </c>
    </row>
    <row r="430" spans="6:7" x14ac:dyDescent="0.55000000000000004">
      <c r="F430">
        <v>4.2799999999999532</v>
      </c>
      <c r="G430">
        <v>1.3547628772652942E-2</v>
      </c>
    </row>
    <row r="431" spans="6:7" x14ac:dyDescent="0.55000000000000004">
      <c r="F431">
        <v>4.289999999999953</v>
      </c>
      <c r="G431">
        <v>1.3412152484926413E-2</v>
      </c>
    </row>
    <row r="432" spans="6:7" x14ac:dyDescent="0.55000000000000004">
      <c r="F432">
        <v>4.2999999999999527</v>
      </c>
      <c r="G432">
        <v>1.3278030960077149E-2</v>
      </c>
    </row>
    <row r="433" spans="6:7" x14ac:dyDescent="0.55000000000000004">
      <c r="F433">
        <v>4.3099999999999525</v>
      </c>
      <c r="G433">
        <v>1.3145250650476378E-2</v>
      </c>
    </row>
    <row r="434" spans="6:7" x14ac:dyDescent="0.55000000000000004">
      <c r="F434">
        <v>4.3199999999999523</v>
      </c>
      <c r="G434">
        <v>1.3013798143971614E-2</v>
      </c>
    </row>
    <row r="435" spans="6:7" x14ac:dyDescent="0.55000000000000004">
      <c r="F435">
        <v>4.3299999999999521</v>
      </c>
      <c r="G435">
        <v>1.2883660162531898E-2</v>
      </c>
    </row>
    <row r="436" spans="6:7" x14ac:dyDescent="0.55000000000000004">
      <c r="F436">
        <v>4.3399999999999519</v>
      </c>
      <c r="G436">
        <v>1.2754823560906578E-2</v>
      </c>
    </row>
    <row r="437" spans="6:7" x14ac:dyDescent="0.55000000000000004">
      <c r="F437">
        <v>4.3499999999999517</v>
      </c>
      <c r="G437">
        <v>1.2627275325297513E-2</v>
      </c>
    </row>
    <row r="438" spans="6:7" x14ac:dyDescent="0.55000000000000004">
      <c r="F438">
        <v>4.3599999999999515</v>
      </c>
      <c r="G438">
        <v>1.2501002572044537E-2</v>
      </c>
    </row>
    <row r="439" spans="6:7" x14ac:dyDescent="0.55000000000000004">
      <c r="F439">
        <v>4.3699999999999513</v>
      </c>
      <c r="G439">
        <v>1.2375992546324092E-2</v>
      </c>
    </row>
    <row r="440" spans="6:7" x14ac:dyDescent="0.55000000000000004">
      <c r="F440">
        <v>4.379999999999951</v>
      </c>
      <c r="G440">
        <v>1.2252232620860852E-2</v>
      </c>
    </row>
    <row r="441" spans="6:7" x14ac:dyDescent="0.55000000000000004">
      <c r="F441">
        <v>4.3899999999999508</v>
      </c>
      <c r="G441">
        <v>1.2129710294652244E-2</v>
      </c>
    </row>
    <row r="442" spans="6:7" x14ac:dyDescent="0.55000000000000004">
      <c r="F442">
        <v>4.3999999999999506</v>
      </c>
      <c r="G442">
        <v>1.2008413191705722E-2</v>
      </c>
    </row>
    <row r="443" spans="6:7" x14ac:dyDescent="0.55000000000000004">
      <c r="F443">
        <v>4.4099999999999504</v>
      </c>
      <c r="G443">
        <v>1.1888329059788665E-2</v>
      </c>
    </row>
    <row r="444" spans="6:7" x14ac:dyDescent="0.55000000000000004">
      <c r="F444">
        <v>4.4199999999999502</v>
      </c>
      <c r="G444">
        <v>1.1769445769190779E-2</v>
      </c>
    </row>
    <row r="445" spans="6:7" x14ac:dyDescent="0.55000000000000004">
      <c r="F445">
        <v>4.42999999999995</v>
      </c>
      <c r="G445">
        <v>1.165175131149887E-2</v>
      </c>
    </row>
    <row r="446" spans="6:7" x14ac:dyDescent="0.55000000000000004">
      <c r="F446">
        <v>4.4399999999999498</v>
      </c>
      <c r="G446">
        <v>1.1535233798383882E-2</v>
      </c>
    </row>
    <row r="447" spans="6:7" x14ac:dyDescent="0.55000000000000004">
      <c r="F447">
        <v>4.4499999999999496</v>
      </c>
      <c r="G447">
        <v>1.1419881460400044E-2</v>
      </c>
    </row>
    <row r="448" spans="6:7" x14ac:dyDescent="0.55000000000000004">
      <c r="F448">
        <v>4.4599999999999493</v>
      </c>
      <c r="G448">
        <v>1.1305682645796044E-2</v>
      </c>
    </row>
    <row r="449" spans="6:7" x14ac:dyDescent="0.55000000000000004">
      <c r="F449">
        <v>4.4699999999999491</v>
      </c>
      <c r="G449">
        <v>1.1192625819338085E-2</v>
      </c>
    </row>
    <row r="450" spans="6:7" x14ac:dyDescent="0.55000000000000004">
      <c r="F450">
        <v>4.4799999999999489</v>
      </c>
      <c r="G450">
        <v>1.1080699561144703E-2</v>
      </c>
    </row>
    <row r="451" spans="6:7" x14ac:dyDescent="0.55000000000000004">
      <c r="F451">
        <v>4.4899999999999487</v>
      </c>
      <c r="G451">
        <v>1.0969892565533256E-2</v>
      </c>
    </row>
    <row r="452" spans="6:7" x14ac:dyDescent="0.55000000000000004">
      <c r="F452">
        <v>4.4999999999999485</v>
      </c>
      <c r="G452">
        <v>1.0860193639877924E-2</v>
      </c>
    </row>
    <row r="453" spans="6:7" x14ac:dyDescent="0.55000000000000004">
      <c r="F453">
        <v>4.5099999999999483</v>
      </c>
      <c r="G453">
        <v>1.0751591703479144E-2</v>
      </c>
    </row>
    <row r="454" spans="6:7" x14ac:dyDescent="0.55000000000000004">
      <c r="F454">
        <v>4.5199999999999481</v>
      </c>
      <c r="G454">
        <v>1.0644075786444353E-2</v>
      </c>
    </row>
    <row r="455" spans="6:7" x14ac:dyDescent="0.55000000000000004">
      <c r="F455">
        <v>4.5299999999999478</v>
      </c>
      <c r="G455">
        <v>1.0537635028579909E-2</v>
      </c>
    </row>
    <row r="456" spans="6:7" x14ac:dyDescent="0.55000000000000004">
      <c r="F456">
        <v>4.5399999999999476</v>
      </c>
      <c r="G456">
        <v>1.043225867829411E-2</v>
      </c>
    </row>
    <row r="457" spans="6:7" x14ac:dyDescent="0.55000000000000004">
      <c r="F457">
        <v>4.5499999999999474</v>
      </c>
      <c r="G457">
        <v>1.032793609151117E-2</v>
      </c>
    </row>
    <row r="458" spans="6:7" x14ac:dyDescent="0.55000000000000004">
      <c r="F458">
        <v>4.5599999999999472</v>
      </c>
      <c r="G458">
        <v>1.0224656730596058E-2</v>
      </c>
    </row>
    <row r="459" spans="6:7" x14ac:dyDescent="0.55000000000000004">
      <c r="F459">
        <v>4.569999999999947</v>
      </c>
      <c r="G459">
        <v>1.0122410163290097E-2</v>
      </c>
    </row>
    <row r="460" spans="6:7" x14ac:dyDescent="0.55000000000000004">
      <c r="F460">
        <v>4.5799999999999468</v>
      </c>
      <c r="G460">
        <v>1.0021186061657196E-2</v>
      </c>
    </row>
    <row r="461" spans="6:7" x14ac:dyDescent="0.55000000000000004">
      <c r="F461">
        <v>4.5899999999999466</v>
      </c>
      <c r="G461">
        <v>9.9209742010406242E-3</v>
      </c>
    </row>
    <row r="462" spans="6:7" x14ac:dyDescent="0.55000000000000004">
      <c r="F462">
        <v>4.5999999999999464</v>
      </c>
      <c r="G462">
        <v>9.8217644590302185E-3</v>
      </c>
    </row>
    <row r="463" spans="6:7" x14ac:dyDescent="0.55000000000000004">
      <c r="F463">
        <v>4.6099999999999461</v>
      </c>
      <c r="G463">
        <v>9.7235468144399161E-3</v>
      </c>
    </row>
    <row r="464" spans="6:7" x14ac:dyDescent="0.55000000000000004">
      <c r="F464">
        <v>4.6199999999999459</v>
      </c>
      <c r="G464">
        <v>9.6263113462955168E-3</v>
      </c>
    </row>
    <row r="465" spans="6:7" x14ac:dyDescent="0.55000000000000004">
      <c r="F465">
        <v>4.6299999999999457</v>
      </c>
      <c r="G465">
        <v>9.5300482328325616E-3</v>
      </c>
    </row>
    <row r="466" spans="6:7" x14ac:dyDescent="0.55000000000000004">
      <c r="F466">
        <v>4.6399999999999455</v>
      </c>
      <c r="G466">
        <v>9.4347477505042354E-3</v>
      </c>
    </row>
    <row r="467" spans="6:7" x14ac:dyDescent="0.55000000000000004">
      <c r="F467">
        <v>4.6499999999999453</v>
      </c>
      <c r="G467">
        <v>9.3404002729991931E-3</v>
      </c>
    </row>
    <row r="468" spans="6:7" x14ac:dyDescent="0.55000000000000004">
      <c r="F468">
        <v>4.6599999999999451</v>
      </c>
      <c r="G468">
        <v>9.2469962702692015E-3</v>
      </c>
    </row>
    <row r="469" spans="6:7" x14ac:dyDescent="0.55000000000000004">
      <c r="F469">
        <v>4.6699999999999449</v>
      </c>
      <c r="G469">
        <v>9.1545263075665101E-3</v>
      </c>
    </row>
    <row r="470" spans="6:7" x14ac:dyDescent="0.55000000000000004">
      <c r="F470">
        <v>4.6799999999999446</v>
      </c>
      <c r="G470">
        <v>9.0629810444908445E-3</v>
      </c>
    </row>
    <row r="471" spans="6:7" x14ac:dyDescent="0.55000000000000004">
      <c r="F471">
        <v>4.6899999999999444</v>
      </c>
      <c r="G471">
        <v>8.9723512340459353E-3</v>
      </c>
    </row>
    <row r="472" spans="6:7" x14ac:dyDescent="0.55000000000000004">
      <c r="F472">
        <v>4.6999999999999442</v>
      </c>
      <c r="G472">
        <v>8.8826277217054755E-3</v>
      </c>
    </row>
    <row r="473" spans="6:7" x14ac:dyDescent="0.55000000000000004">
      <c r="F473">
        <v>4.709999999999944</v>
      </c>
      <c r="G473">
        <v>8.7938014444884204E-3</v>
      </c>
    </row>
    <row r="474" spans="6:7" x14ac:dyDescent="0.55000000000000004">
      <c r="F474">
        <v>4.7199999999999438</v>
      </c>
      <c r="G474">
        <v>8.7058634300435367E-3</v>
      </c>
    </row>
    <row r="475" spans="6:7" x14ac:dyDescent="0.55000000000000004">
      <c r="F475">
        <v>4.7299999999999436</v>
      </c>
      <c r="G475">
        <v>8.6188047957431006E-3</v>
      </c>
    </row>
    <row r="476" spans="6:7" x14ac:dyDescent="0.55000000000000004">
      <c r="F476">
        <v>4.7399999999999434</v>
      </c>
      <c r="G476">
        <v>8.53261674778567E-3</v>
      </c>
    </row>
    <row r="477" spans="6:7" x14ac:dyDescent="0.55000000000000004">
      <c r="F477">
        <v>4.7499999999999432</v>
      </c>
      <c r="G477">
        <v>8.4472905803078136E-3</v>
      </c>
    </row>
    <row r="478" spans="6:7" x14ac:dyDescent="0.55000000000000004">
      <c r="F478">
        <v>4.7599999999999429</v>
      </c>
      <c r="G478">
        <v>8.3628176745047349E-3</v>
      </c>
    </row>
    <row r="479" spans="6:7" x14ac:dyDescent="0.55000000000000004">
      <c r="F479">
        <v>4.7699999999999427</v>
      </c>
      <c r="G479">
        <v>8.2791894977596869E-3</v>
      </c>
    </row>
    <row r="480" spans="6:7" x14ac:dyDescent="0.55000000000000004">
      <c r="F480">
        <v>4.7799999999999425</v>
      </c>
      <c r="G480">
        <v>8.1963976027820892E-3</v>
      </c>
    </row>
    <row r="481" spans="6:7" x14ac:dyDescent="0.55000000000000004">
      <c r="F481">
        <v>4.7899999999999423</v>
      </c>
      <c r="G481">
        <v>8.114433626754269E-3</v>
      </c>
    </row>
    <row r="482" spans="6:7" x14ac:dyDescent="0.55000000000000004">
      <c r="F482">
        <v>4.7999999999999421</v>
      </c>
      <c r="G482">
        <v>8.0332892904867257E-3</v>
      </c>
    </row>
    <row r="483" spans="6:7" x14ac:dyDescent="0.55000000000000004">
      <c r="F483">
        <v>4.8099999999999419</v>
      </c>
      <c r="G483">
        <v>7.9529563975818587E-3</v>
      </c>
    </row>
    <row r="484" spans="6:7" x14ac:dyDescent="0.55000000000000004">
      <c r="F484">
        <v>4.8199999999999417</v>
      </c>
      <c r="G484">
        <v>7.8734268336060394E-3</v>
      </c>
    </row>
    <row r="485" spans="6:7" x14ac:dyDescent="0.55000000000000004">
      <c r="F485">
        <v>4.8299999999999415</v>
      </c>
      <c r="G485">
        <v>7.794692565269979E-3</v>
      </c>
    </row>
    <row r="486" spans="6:7" x14ac:dyDescent="0.55000000000000004">
      <c r="F486">
        <v>4.8399999999999412</v>
      </c>
      <c r="G486">
        <v>7.716745639617279E-3</v>
      </c>
    </row>
    <row r="487" spans="6:7" x14ac:dyDescent="0.55000000000000004">
      <c r="F487">
        <v>4.849999999999941</v>
      </c>
      <c r="G487">
        <v>7.639578183221106E-3</v>
      </c>
    </row>
    <row r="488" spans="6:7" x14ac:dyDescent="0.55000000000000004">
      <c r="F488">
        <v>4.8599999999999408</v>
      </c>
      <c r="G488">
        <v>7.5631824013888951E-3</v>
      </c>
    </row>
    <row r="489" spans="6:7" x14ac:dyDescent="0.55000000000000004">
      <c r="F489">
        <v>4.8699999999999406</v>
      </c>
      <c r="G489">
        <v>7.4875505773750062E-3</v>
      </c>
    </row>
    <row r="490" spans="6:7" x14ac:dyDescent="0.55000000000000004">
      <c r="F490">
        <v>4.8799999999999404</v>
      </c>
      <c r="G490">
        <v>7.4126750716012558E-3</v>
      </c>
    </row>
    <row r="491" spans="6:7" x14ac:dyDescent="0.55000000000000004">
      <c r="F491">
        <v>4.8899999999999402</v>
      </c>
      <c r="G491">
        <v>7.3385483208852431E-3</v>
      </c>
    </row>
    <row r="492" spans="6:7" x14ac:dyDescent="0.55000000000000004">
      <c r="F492">
        <v>4.89999999999994</v>
      </c>
      <c r="G492">
        <v>7.2651628376763904E-3</v>
      </c>
    </row>
    <row r="493" spans="6:7" x14ac:dyDescent="0.55000000000000004">
      <c r="F493">
        <v>4.9099999999999397</v>
      </c>
      <c r="G493">
        <v>7.1925112092996266E-3</v>
      </c>
    </row>
    <row r="494" spans="6:7" x14ac:dyDescent="0.55000000000000004">
      <c r="F494">
        <v>4.9199999999999395</v>
      </c>
      <c r="G494">
        <v>7.1205860972066307E-3</v>
      </c>
    </row>
    <row r="495" spans="6:7" x14ac:dyDescent="0.55000000000000004">
      <c r="F495">
        <v>4.9299999999999393</v>
      </c>
      <c r="G495">
        <v>7.0493802362345641E-3</v>
      </c>
    </row>
    <row r="496" spans="6:7" x14ac:dyDescent="0.55000000000000004">
      <c r="F496">
        <v>4.9399999999999391</v>
      </c>
      <c r="G496">
        <v>6.9788864338722187E-3</v>
      </c>
    </row>
    <row r="497" spans="6:7" x14ac:dyDescent="0.55000000000000004">
      <c r="F497">
        <v>4.9499999999999389</v>
      </c>
      <c r="G497">
        <v>6.9090975695334962E-3</v>
      </c>
    </row>
    <row r="498" spans="6:7" x14ac:dyDescent="0.55000000000000004">
      <c r="F498">
        <v>4.9599999999999387</v>
      </c>
      <c r="G498">
        <v>6.840006593838161E-3</v>
      </c>
    </row>
    <row r="499" spans="6:7" x14ac:dyDescent="0.55000000000000004">
      <c r="F499">
        <v>4.9699999999999385</v>
      </c>
      <c r="G499">
        <v>6.7716065278997798E-3</v>
      </c>
    </row>
    <row r="500" spans="6:7" x14ac:dyDescent="0.55000000000000004">
      <c r="F500">
        <v>4.9799999999999383</v>
      </c>
      <c r="G500">
        <v>6.7038904626207816E-3</v>
      </c>
    </row>
    <row r="501" spans="6:7" x14ac:dyDescent="0.55000000000000004">
      <c r="F501">
        <v>4.989999999999938</v>
      </c>
      <c r="G501">
        <v>6.6368515579945742E-3</v>
      </c>
    </row>
    <row r="502" spans="6:7" x14ac:dyDescent="0.55000000000000004">
      <c r="F502">
        <v>4.9999999999999378</v>
      </c>
      <c r="G502">
        <v>6.5704830424146285E-3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0E270-D84C-429B-9DCD-CEA0617AEE9F}">
  <dimension ref="A1:N80"/>
  <sheetViews>
    <sheetView topLeftCell="A67" workbookViewId="0">
      <selection activeCell="F27" sqref="F27"/>
    </sheetView>
  </sheetViews>
  <sheetFormatPr baseColWidth="10" defaultRowHeight="14.4" x14ac:dyDescent="0.55000000000000004"/>
  <cols>
    <col min="5" max="6" width="22.3671875" bestFit="1" customWidth="1"/>
    <col min="7" max="7" width="33.3125" bestFit="1" customWidth="1"/>
    <col min="8" max="8" width="14.1015625" customWidth="1"/>
    <col min="15" max="15" width="33.3125" bestFit="1" customWidth="1"/>
    <col min="16" max="16" width="14.89453125" customWidth="1"/>
  </cols>
  <sheetData>
    <row r="1" spans="1:14" ht="17.399999999999999" x14ac:dyDescent="0.55000000000000004">
      <c r="A1" s="4" t="s">
        <v>42</v>
      </c>
      <c r="B1" s="4" t="s">
        <v>43</v>
      </c>
      <c r="C1" s="4" t="s">
        <v>44</v>
      </c>
      <c r="E1" s="4"/>
      <c r="F1" s="22" t="s">
        <v>17</v>
      </c>
      <c r="I1" s="18"/>
      <c r="J1" s="18"/>
      <c r="K1" s="18"/>
      <c r="L1" s="18"/>
      <c r="M1" s="5"/>
      <c r="N1" s="5"/>
    </row>
    <row r="2" spans="1:14" x14ac:dyDescent="0.55000000000000004">
      <c r="A2" s="21">
        <v>25</v>
      </c>
      <c r="B2" s="21">
        <v>70</v>
      </c>
      <c r="C2" s="21">
        <v>170</v>
      </c>
      <c r="E2" s="20" t="str">
        <f>E12</f>
        <v>Lista de procedimientos</v>
      </c>
      <c r="F2" s="19">
        <v>0</v>
      </c>
    </row>
    <row r="3" spans="1:14" x14ac:dyDescent="0.55000000000000004">
      <c r="A3" s="21">
        <v>30</v>
      </c>
      <c r="B3" s="21">
        <v>85</v>
      </c>
      <c r="C3" s="21">
        <v>175</v>
      </c>
      <c r="E3" s="20" t="str">
        <f>E21</f>
        <v>Estadistica Descriptiva</v>
      </c>
      <c r="F3" s="19">
        <v>1</v>
      </c>
    </row>
    <row r="4" spans="1:14" x14ac:dyDescent="0.55000000000000004">
      <c r="A4" s="21">
        <v>22</v>
      </c>
      <c r="B4" s="21">
        <v>60</v>
      </c>
      <c r="C4" s="21">
        <v>165</v>
      </c>
      <c r="E4" s="20" t="str">
        <f>E25</f>
        <v>Correlacion</v>
      </c>
      <c r="F4" s="19">
        <v>2</v>
      </c>
    </row>
    <row r="5" spans="1:14" x14ac:dyDescent="0.55000000000000004">
      <c r="A5" s="21">
        <v>35</v>
      </c>
      <c r="B5" s="21">
        <v>90</v>
      </c>
      <c r="C5" s="21">
        <v>180</v>
      </c>
      <c r="E5" s="20" t="str">
        <f>E30</f>
        <v>Covarianza</v>
      </c>
      <c r="F5" s="19">
        <v>3</v>
      </c>
    </row>
    <row r="6" spans="1:14" x14ac:dyDescent="0.55000000000000004">
      <c r="A6" s="21">
        <v>28</v>
      </c>
      <c r="B6" s="21">
        <v>75</v>
      </c>
      <c r="C6" s="21">
        <v>172</v>
      </c>
      <c r="E6" s="20" t="str">
        <f>E35</f>
        <v>Test T de Student</v>
      </c>
      <c r="F6" s="19">
        <v>4</v>
      </c>
    </row>
    <row r="7" spans="1:14" x14ac:dyDescent="0.55000000000000004">
      <c r="A7" s="21">
        <v>40</v>
      </c>
      <c r="B7" s="21">
        <v>95</v>
      </c>
      <c r="C7" s="21">
        <v>178</v>
      </c>
      <c r="E7" s="20" t="str">
        <f>E41</f>
        <v>Normalizacion MinMax</v>
      </c>
      <c r="F7" s="19">
        <v>5</v>
      </c>
    </row>
    <row r="8" spans="1:14" x14ac:dyDescent="0.55000000000000004">
      <c r="A8" s="21">
        <v>23</v>
      </c>
      <c r="B8" s="21">
        <v>65</v>
      </c>
      <c r="C8" s="21">
        <v>168</v>
      </c>
      <c r="E8" s="20" t="str">
        <f>E53</f>
        <v>Estandarizacion Z-Score (media=0, std=1)</v>
      </c>
      <c r="F8" s="19">
        <v>6</v>
      </c>
    </row>
    <row r="9" spans="1:14" x14ac:dyDescent="0.55000000000000004">
      <c r="A9" s="21">
        <v>33</v>
      </c>
      <c r="B9" s="21">
        <v>80</v>
      </c>
      <c r="C9" s="21">
        <v>176</v>
      </c>
      <c r="E9" s="20" t="str">
        <f>E65</f>
        <v>Percentiles</v>
      </c>
      <c r="F9" s="19">
        <v>7</v>
      </c>
    </row>
    <row r="10" spans="1:14" x14ac:dyDescent="0.55000000000000004">
      <c r="A10" s="21">
        <v>27</v>
      </c>
      <c r="B10" s="21">
        <v>72</v>
      </c>
      <c r="C10" s="21">
        <v>171</v>
      </c>
      <c r="E10" s="20" t="str">
        <f>E76</f>
        <v>Deteccion de outliers</v>
      </c>
      <c r="F10" s="19">
        <v>8</v>
      </c>
    </row>
    <row r="11" spans="1:14" x14ac:dyDescent="0.55000000000000004">
      <c r="A11" s="21">
        <v>31</v>
      </c>
      <c r="B11" s="21">
        <v>88</v>
      </c>
      <c r="C11" s="21">
        <v>177</v>
      </c>
    </row>
    <row r="12" spans="1:14" ht="34.799999999999997" x14ac:dyDescent="0.55000000000000004">
      <c r="E12" s="4" t="s">
        <v>12</v>
      </c>
    </row>
    <row r="13" spans="1:14" x14ac:dyDescent="0.55000000000000004">
      <c r="F13" s="13" t="str" cm="1">
        <f t="array" ref="F13:F20">_xll.J.Estadistica($A$1:$C$11,0,$F$2)</f>
        <v>[01] Descriptiva completa</v>
      </c>
    </row>
    <row r="14" spans="1:14" x14ac:dyDescent="0.55000000000000004">
      <c r="F14" s="13" t="str">
        <v>[02] Correlacion</v>
      </c>
    </row>
    <row r="15" spans="1:14" x14ac:dyDescent="0.55000000000000004">
      <c r="F15" s="13" t="str">
        <v>[03] Covarianza</v>
      </c>
    </row>
    <row r="16" spans="1:14" x14ac:dyDescent="0.55000000000000004">
      <c r="F16" s="13" t="str">
        <v>[04] Test t Student</v>
      </c>
    </row>
    <row r="17" spans="5:13" x14ac:dyDescent="0.55000000000000004">
      <c r="F17" s="13" t="str">
        <v>[05] Normalizacion MinMax</v>
      </c>
    </row>
    <row r="18" spans="5:13" x14ac:dyDescent="0.55000000000000004">
      <c r="F18" s="13" t="str">
        <v>[06] Estandarizacion ZScore</v>
      </c>
    </row>
    <row r="19" spans="5:13" x14ac:dyDescent="0.55000000000000004">
      <c r="F19" s="13" t="str">
        <v>[07] Percentiles</v>
      </c>
    </row>
    <row r="20" spans="5:13" x14ac:dyDescent="0.55000000000000004">
      <c r="F20" s="13" t="str">
        <v>[08] Deteccion Outliers IQR</v>
      </c>
    </row>
    <row r="21" spans="5:13" ht="17.399999999999999" x14ac:dyDescent="0.55000000000000004">
      <c r="E21" s="4" t="s">
        <v>45</v>
      </c>
    </row>
    <row r="22" spans="5:13" x14ac:dyDescent="0.55000000000000004">
      <c r="F22" s="15" cm="1">
        <f t="array" ref="F22:M24">_xll.J.Estadistica($A$2:$C$11,0,$F$3)</f>
        <v>10</v>
      </c>
      <c r="G22" s="15">
        <v>29.4</v>
      </c>
      <c r="H22" s="15">
        <v>5.6015870766933347</v>
      </c>
      <c r="I22" s="15">
        <v>22</v>
      </c>
      <c r="J22" s="15">
        <v>25</v>
      </c>
      <c r="K22" s="15">
        <v>28</v>
      </c>
      <c r="L22" s="15">
        <v>33</v>
      </c>
      <c r="M22" s="15">
        <v>40</v>
      </c>
    </row>
    <row r="23" spans="5:13" x14ac:dyDescent="0.55000000000000004">
      <c r="F23" s="15">
        <v>10</v>
      </c>
      <c r="G23" s="15">
        <v>78</v>
      </c>
      <c r="H23" s="15">
        <v>11.489125293076057</v>
      </c>
      <c r="I23" s="15">
        <v>60</v>
      </c>
      <c r="J23" s="15">
        <v>70</v>
      </c>
      <c r="K23" s="15">
        <v>75</v>
      </c>
      <c r="L23" s="15">
        <v>88</v>
      </c>
      <c r="M23" s="15">
        <v>95</v>
      </c>
    </row>
    <row r="24" spans="5:13" x14ac:dyDescent="0.55000000000000004">
      <c r="F24" s="15">
        <v>10</v>
      </c>
      <c r="G24" s="15">
        <v>173.2</v>
      </c>
      <c r="H24" s="15">
        <v>4.7795862210493123</v>
      </c>
      <c r="I24" s="15">
        <v>165</v>
      </c>
      <c r="J24" s="15">
        <v>170</v>
      </c>
      <c r="K24" s="15">
        <v>172</v>
      </c>
      <c r="L24" s="15">
        <v>177</v>
      </c>
      <c r="M24" s="15">
        <v>180</v>
      </c>
    </row>
    <row r="25" spans="5:13" ht="17.399999999999999" x14ac:dyDescent="0.55000000000000004">
      <c r="E25" s="4" t="s">
        <v>46</v>
      </c>
    </row>
    <row r="26" spans="5:13" x14ac:dyDescent="0.55000000000000004">
      <c r="F26" s="15" cm="1">
        <f t="array" ref="F26:H28">_xll.J.Estadistica($A$2:$C$11,0,$F$4)</f>
        <v>1</v>
      </c>
      <c r="G26" s="15">
        <v>0.94092701067398288</v>
      </c>
      <c r="H26" s="15">
        <v>0.91799691406536277</v>
      </c>
    </row>
    <row r="27" spans="5:13" x14ac:dyDescent="0.55000000000000004">
      <c r="F27" s="15">
        <v>0.94092701067398288</v>
      </c>
      <c r="G27" s="15">
        <v>1</v>
      </c>
      <c r="H27" s="15">
        <v>0.96515841946946612</v>
      </c>
    </row>
    <row r="28" spans="5:13" x14ac:dyDescent="0.55000000000000004">
      <c r="F28" s="15">
        <v>0.91799691406536277</v>
      </c>
      <c r="G28" s="15">
        <v>0.96515841946946612</v>
      </c>
      <c r="H28" s="15">
        <v>1</v>
      </c>
    </row>
    <row r="29" spans="5:13" x14ac:dyDescent="0.55000000000000004">
      <c r="F29" s="16"/>
      <c r="G29" s="16"/>
      <c r="H29" s="16"/>
    </row>
    <row r="30" spans="5:13" ht="17.399999999999999" x14ac:dyDescent="0.55000000000000004">
      <c r="E30" s="4" t="s">
        <v>47</v>
      </c>
      <c r="F30" s="16"/>
      <c r="G30" s="16"/>
      <c r="H30" s="16"/>
    </row>
    <row r="31" spans="5:13" x14ac:dyDescent="0.55000000000000004">
      <c r="F31" s="15" cm="1">
        <f t="array" ref="F31:H33">_xll.J.Estadistica($A$2:$C$11,0,$F$5)</f>
        <v>31.37777777777778</v>
      </c>
      <c r="G31" s="15">
        <v>60.55555555555555</v>
      </c>
      <c r="H31" s="15">
        <v>24.577777777777776</v>
      </c>
    </row>
    <row r="32" spans="5:13" x14ac:dyDescent="0.55000000000000004">
      <c r="F32" s="15">
        <v>60.55555555555555</v>
      </c>
      <c r="G32" s="15">
        <v>132</v>
      </c>
      <c r="H32" s="15">
        <v>53</v>
      </c>
    </row>
    <row r="33" spans="5:8" x14ac:dyDescent="0.55000000000000004">
      <c r="F33" s="15">
        <v>24.577777777777776</v>
      </c>
      <c r="G33" s="15">
        <v>53</v>
      </c>
      <c r="H33" s="15">
        <v>22.844444444444441</v>
      </c>
    </row>
    <row r="35" spans="5:8" ht="17.399999999999999" x14ac:dyDescent="0.55000000000000004">
      <c r="E35" s="4" t="s">
        <v>48</v>
      </c>
    </row>
    <row r="36" spans="5:8" x14ac:dyDescent="0.55000000000000004">
      <c r="F36" s="10" cm="1">
        <f t="array" ref="F36:F39">_xll.J.Estadistica($A$2:$A$11,$B$2:$B$11,$F$6)</f>
        <v>-48.6</v>
      </c>
    </row>
    <row r="37" spans="5:8" x14ac:dyDescent="0.55000000000000004">
      <c r="F37" s="10">
        <v>-12.023745548642419</v>
      </c>
    </row>
    <row r="38" spans="5:8" x14ac:dyDescent="0.55000000000000004">
      <c r="F38" s="10">
        <v>13.049940897076789</v>
      </c>
    </row>
    <row r="39" spans="5:8" x14ac:dyDescent="0.55000000000000004">
      <c r="F39" s="10">
        <v>4.0420017043264318</v>
      </c>
    </row>
    <row r="41" spans="5:8" ht="17.399999999999999" x14ac:dyDescent="0.55000000000000004">
      <c r="E41" s="4" t="s">
        <v>49</v>
      </c>
    </row>
    <row r="42" spans="5:8" x14ac:dyDescent="0.55000000000000004">
      <c r="F42" s="10" cm="1">
        <f t="array" ref="F42:H51">_xll.J.Estadistica($A$2:$C$11,0,$F$7)</f>
        <v>0.16666666666666666</v>
      </c>
      <c r="G42" s="10">
        <v>0.2857142857142857</v>
      </c>
      <c r="H42" s="10">
        <v>0.33333333333333331</v>
      </c>
    </row>
    <row r="43" spans="5:8" x14ac:dyDescent="0.55000000000000004">
      <c r="F43" s="10">
        <v>0.44444444444444442</v>
      </c>
      <c r="G43" s="10">
        <v>0.7142857142857143</v>
      </c>
      <c r="H43" s="10">
        <v>0.66666666666666663</v>
      </c>
    </row>
    <row r="44" spans="5:8" x14ac:dyDescent="0.55000000000000004">
      <c r="F44" s="10">
        <v>0</v>
      </c>
      <c r="G44" s="10">
        <v>0</v>
      </c>
      <c r="H44" s="10">
        <v>0</v>
      </c>
    </row>
    <row r="45" spans="5:8" x14ac:dyDescent="0.55000000000000004">
      <c r="F45" s="10">
        <v>0.72222222222222221</v>
      </c>
      <c r="G45" s="10">
        <v>0.8571428571428571</v>
      </c>
      <c r="H45" s="10">
        <v>1</v>
      </c>
    </row>
    <row r="46" spans="5:8" x14ac:dyDescent="0.55000000000000004">
      <c r="F46" s="10">
        <v>0.33333333333333331</v>
      </c>
      <c r="G46" s="10">
        <v>0.42857142857142855</v>
      </c>
      <c r="H46" s="10">
        <v>0.46666666666666667</v>
      </c>
    </row>
    <row r="47" spans="5:8" x14ac:dyDescent="0.55000000000000004">
      <c r="F47" s="10">
        <v>1</v>
      </c>
      <c r="G47" s="10">
        <v>1</v>
      </c>
      <c r="H47" s="10">
        <v>0.8666666666666667</v>
      </c>
    </row>
    <row r="48" spans="5:8" x14ac:dyDescent="0.55000000000000004">
      <c r="F48" s="10">
        <v>5.5555555555555552E-2</v>
      </c>
      <c r="G48" s="10">
        <v>0.14285714285714285</v>
      </c>
      <c r="H48" s="10">
        <v>0.2</v>
      </c>
    </row>
    <row r="49" spans="5:8" x14ac:dyDescent="0.55000000000000004">
      <c r="F49" s="10">
        <v>0.61111111111111116</v>
      </c>
      <c r="G49" s="10">
        <v>0.5714285714285714</v>
      </c>
      <c r="H49" s="10">
        <v>0.73333333333333328</v>
      </c>
    </row>
    <row r="50" spans="5:8" x14ac:dyDescent="0.55000000000000004">
      <c r="F50" s="10">
        <v>0.27777777777777779</v>
      </c>
      <c r="G50" s="10">
        <v>0.34285714285714286</v>
      </c>
      <c r="H50" s="10">
        <v>0.4</v>
      </c>
    </row>
    <row r="51" spans="5:8" x14ac:dyDescent="0.55000000000000004">
      <c r="F51" s="10">
        <v>0.5</v>
      </c>
      <c r="G51" s="10">
        <v>0.8</v>
      </c>
      <c r="H51" s="10">
        <v>0.8</v>
      </c>
    </row>
    <row r="53" spans="5:8" ht="52.2" x14ac:dyDescent="0.55000000000000004">
      <c r="E53" s="4" t="s">
        <v>50</v>
      </c>
    </row>
    <row r="54" spans="5:8" x14ac:dyDescent="0.55000000000000004">
      <c r="F54" s="11" cm="1">
        <f t="array" ref="F54:H63">_xll.J.Estadistica($A$2:$C$11,0,$F$8)</f>
        <v>-0.78549167222753535</v>
      </c>
      <c r="G54" s="11">
        <v>-0.69631062382279141</v>
      </c>
      <c r="H54" s="11">
        <v>-0.66951402318200237</v>
      </c>
    </row>
    <row r="55" spans="5:8" x14ac:dyDescent="0.55000000000000004">
      <c r="F55" s="11">
        <v>0.10711250075830056</v>
      </c>
      <c r="G55" s="11">
        <v>0.6092717958449424</v>
      </c>
      <c r="H55" s="11">
        <v>0.37660163803988006</v>
      </c>
    </row>
    <row r="56" spans="5:8" x14ac:dyDescent="0.55000000000000004">
      <c r="F56" s="11">
        <v>-1.3210541760190369</v>
      </c>
      <c r="G56" s="11">
        <v>-1.5666989036012806</v>
      </c>
      <c r="H56" s="11">
        <v>-1.715629684403885</v>
      </c>
    </row>
    <row r="57" spans="5:8" x14ac:dyDescent="0.55000000000000004">
      <c r="F57" s="11">
        <v>0.99971667374413642</v>
      </c>
      <c r="G57" s="11">
        <v>1.044465935734187</v>
      </c>
      <c r="H57" s="11">
        <v>1.4227172992617625</v>
      </c>
    </row>
    <row r="58" spans="5:8" x14ac:dyDescent="0.55000000000000004">
      <c r="F58" s="11">
        <v>-0.2499291684360338</v>
      </c>
      <c r="G58" s="11">
        <v>-0.26111648393354675</v>
      </c>
      <c r="H58" s="11">
        <v>-0.25106775869324943</v>
      </c>
    </row>
    <row r="59" spans="5:8" x14ac:dyDescent="0.55000000000000004">
      <c r="F59" s="11">
        <v>1.8923208467299724</v>
      </c>
      <c r="G59" s="11">
        <v>1.4796600756234317</v>
      </c>
      <c r="H59" s="11">
        <v>1.0042710347730095</v>
      </c>
    </row>
    <row r="60" spans="5:8" x14ac:dyDescent="0.55000000000000004">
      <c r="F60" s="11">
        <v>-1.1425333414218697</v>
      </c>
      <c r="G60" s="11">
        <v>-1.1315047637120359</v>
      </c>
      <c r="H60" s="11">
        <v>-1.0879602876707555</v>
      </c>
    </row>
    <row r="61" spans="5:8" x14ac:dyDescent="0.55000000000000004">
      <c r="F61" s="11">
        <v>0.64267500454980209</v>
      </c>
      <c r="G61" s="11">
        <v>0.17407765595569785</v>
      </c>
      <c r="H61" s="11">
        <v>0.58582477028425661</v>
      </c>
    </row>
    <row r="62" spans="5:8" x14ac:dyDescent="0.55000000000000004">
      <c r="F62" s="11">
        <v>-0.42845000303320097</v>
      </c>
      <c r="G62" s="11">
        <v>-0.5222329678670935</v>
      </c>
      <c r="H62" s="11">
        <v>-0.46029089093762593</v>
      </c>
    </row>
    <row r="63" spans="5:8" x14ac:dyDescent="0.55000000000000004">
      <c r="F63" s="11">
        <v>0.28563333535546775</v>
      </c>
      <c r="G63" s="11">
        <v>0.8703882797784892</v>
      </c>
      <c r="H63" s="11">
        <v>0.79504790252863311</v>
      </c>
    </row>
    <row r="65" spans="5:9" ht="17.399999999999999" x14ac:dyDescent="0.55000000000000004">
      <c r="E65" s="4" t="s">
        <v>51</v>
      </c>
    </row>
    <row r="66" spans="5:9" x14ac:dyDescent="0.55000000000000004">
      <c r="F66" s="11" cm="1">
        <f t="array" ref="F66:F74">_xll.J.Estadistica($A$2:$C$11,0,$F$9)</f>
        <v>22</v>
      </c>
    </row>
    <row r="67" spans="5:9" x14ac:dyDescent="0.55000000000000004">
      <c r="F67" s="10">
        <v>23</v>
      </c>
    </row>
    <row r="68" spans="5:9" x14ac:dyDescent="0.55000000000000004">
      <c r="F68" s="10">
        <v>25</v>
      </c>
    </row>
    <row r="69" spans="5:9" x14ac:dyDescent="0.55000000000000004">
      <c r="F69" s="10">
        <v>33</v>
      </c>
    </row>
    <row r="70" spans="5:9" x14ac:dyDescent="0.55000000000000004">
      <c r="F70" s="10">
        <v>75</v>
      </c>
    </row>
    <row r="71" spans="5:9" x14ac:dyDescent="0.55000000000000004">
      <c r="F71" s="10">
        <v>170</v>
      </c>
    </row>
    <row r="72" spans="5:9" x14ac:dyDescent="0.55000000000000004">
      <c r="F72" s="10">
        <v>176</v>
      </c>
    </row>
    <row r="73" spans="5:9" x14ac:dyDescent="0.55000000000000004">
      <c r="F73" s="10">
        <v>178</v>
      </c>
    </row>
    <row r="74" spans="5:9" x14ac:dyDescent="0.55000000000000004">
      <c r="F74" s="10">
        <v>180</v>
      </c>
    </row>
    <row r="76" spans="5:9" ht="17.399999999999999" x14ac:dyDescent="0.55000000000000004">
      <c r="E76" s="4" t="s">
        <v>52</v>
      </c>
    </row>
    <row r="77" spans="5:9" x14ac:dyDescent="0.55000000000000004">
      <c r="F77" s="11" cm="1">
        <f t="array" ref="F77:I79">_xll.J.Estadistica($A$2:$C$11,0,$F$10)</f>
        <v>25</v>
      </c>
      <c r="G77" s="13">
        <v>33</v>
      </c>
      <c r="H77" s="13">
        <v>8</v>
      </c>
      <c r="I77" s="13">
        <v>0</v>
      </c>
    </row>
    <row r="78" spans="5:9" x14ac:dyDescent="0.55000000000000004">
      <c r="F78" s="10">
        <v>70</v>
      </c>
      <c r="G78" s="13">
        <v>88</v>
      </c>
      <c r="H78" s="13">
        <v>18</v>
      </c>
      <c r="I78" s="13">
        <v>0</v>
      </c>
    </row>
    <row r="79" spans="5:9" x14ac:dyDescent="0.55000000000000004">
      <c r="F79" s="10">
        <v>170</v>
      </c>
      <c r="G79" s="13">
        <v>177</v>
      </c>
      <c r="H79" s="13">
        <v>7</v>
      </c>
      <c r="I79" s="13">
        <v>0</v>
      </c>
    </row>
    <row r="80" spans="5:9" x14ac:dyDescent="0.55000000000000004">
      <c r="F80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8012-3CEE-48A4-B051-08740BF1EFD8}">
  <dimension ref="A1:O152"/>
  <sheetViews>
    <sheetView topLeftCell="A2" workbookViewId="0">
      <selection activeCell="I4" sqref="I4"/>
    </sheetView>
  </sheetViews>
  <sheetFormatPr baseColWidth="10" defaultRowHeight="14.4" x14ac:dyDescent="0.55000000000000004"/>
  <cols>
    <col min="1" max="5" width="12.83984375" customWidth="1"/>
    <col min="6" max="6" width="30.89453125" bestFit="1" customWidth="1"/>
    <col min="7" max="7" width="12.15625" customWidth="1"/>
    <col min="9" max="9" width="19.05078125" style="21" customWidth="1"/>
    <col min="11" max="11" width="33.3125" bestFit="1" customWidth="1"/>
    <col min="12" max="12" width="14" customWidth="1"/>
    <col min="14" max="14" width="15.3671875" customWidth="1"/>
  </cols>
  <sheetData>
    <row r="1" spans="1:15" ht="17.399999999999999" x14ac:dyDescent="0.55000000000000004">
      <c r="F1" t="str" cm="1">
        <f t="array" ref="F1:F31">_xll.J.Clasificacion($A$3:$D$152,$E$3:$E$152,$O$1,$L$3)</f>
        <v>Accuracy: 96.0%</v>
      </c>
      <c r="H1" s="23"/>
      <c r="I1" s="23"/>
      <c r="J1" s="23"/>
      <c r="K1" s="4"/>
      <c r="L1" s="22" t="s">
        <v>17</v>
      </c>
      <c r="N1" s="22" t="s">
        <v>71</v>
      </c>
      <c r="O1" s="19">
        <v>3</v>
      </c>
    </row>
    <row r="2" spans="1:15" ht="34.799999999999997" x14ac:dyDescent="0.55000000000000004">
      <c r="A2" s="22" t="s">
        <v>53</v>
      </c>
      <c r="B2" s="22" t="s">
        <v>54</v>
      </c>
      <c r="C2" s="22" t="s">
        <v>55</v>
      </c>
      <c r="D2" s="22" t="s">
        <v>56</v>
      </c>
      <c r="E2" s="22" t="s">
        <v>57</v>
      </c>
      <c r="F2" s="22" t="str">
        <v>Obs 1: real=Setosa pred=Setosa</v>
      </c>
      <c r="G2" s="8" t="s">
        <v>74</v>
      </c>
      <c r="H2" s="8"/>
      <c r="I2" s="22" t="s">
        <v>75</v>
      </c>
      <c r="J2" s="23"/>
      <c r="K2" s="20" t="str">
        <f>K9</f>
        <v>Lista de procedimientos</v>
      </c>
      <c r="L2" s="19">
        <v>0</v>
      </c>
    </row>
    <row r="3" spans="1:15" x14ac:dyDescent="0.55000000000000004">
      <c r="A3">
        <v>5.0999999999999996</v>
      </c>
      <c r="B3">
        <v>3.5</v>
      </c>
      <c r="C3">
        <v>1.4</v>
      </c>
      <c r="D3">
        <v>0.2</v>
      </c>
      <c r="E3" t="s">
        <v>58</v>
      </c>
      <c r="F3" s="13" t="str">
        <v>Obs 2: real=Setosa pred=Setosa</v>
      </c>
      <c r="G3" s="13" t="str" cm="1">
        <f t="array" ref="G3:H152">_xll.J.KNN($A$3:$D$152,$E$3:$E$152,$O$1,$L$6)</f>
        <v>Setosa</v>
      </c>
      <c r="H3" s="31" t="str">
        <v>Setosa</v>
      </c>
      <c r="I3" s="14" cm="1">
        <f t="array" ref="I3:I152">_xll.J.KNN($A$3:$D$152,$E$3:$E$152,$O$1,$L$7)</f>
        <v>9.9999999999999978E-2</v>
      </c>
      <c r="K3" s="20" t="s">
        <v>61</v>
      </c>
      <c r="L3" s="19">
        <v>1</v>
      </c>
    </row>
    <row r="4" spans="1:15" x14ac:dyDescent="0.55000000000000004">
      <c r="A4">
        <v>4.9000000000000004</v>
      </c>
      <c r="B4">
        <v>3</v>
      </c>
      <c r="C4">
        <v>1.4</v>
      </c>
      <c r="D4">
        <v>0.2</v>
      </c>
      <c r="E4" t="s">
        <v>58</v>
      </c>
      <c r="F4" s="13" t="str">
        <v>Obs 3: real=Setosa pred=Setosa</v>
      </c>
      <c r="G4" s="13" t="str">
        <v>Setosa</v>
      </c>
      <c r="H4" s="31" t="str">
        <v>Setosa</v>
      </c>
      <c r="I4" s="14">
        <v>0.14142135623730964</v>
      </c>
      <c r="K4" s="20" t="s">
        <v>62</v>
      </c>
      <c r="L4" s="19">
        <v>2</v>
      </c>
    </row>
    <row r="5" spans="1:15" x14ac:dyDescent="0.55000000000000004">
      <c r="A5">
        <v>4.7</v>
      </c>
      <c r="B5">
        <v>3.2</v>
      </c>
      <c r="C5">
        <v>1.3</v>
      </c>
      <c r="D5">
        <v>0.2</v>
      </c>
      <c r="E5" t="s">
        <v>58</v>
      </c>
      <c r="F5" s="13" t="str">
        <v>Obs 4: real=Setosa pred=Setosa</v>
      </c>
      <c r="G5" s="13" t="str">
        <v>Setosa</v>
      </c>
      <c r="H5" s="31" t="str">
        <v>Setosa</v>
      </c>
      <c r="I5" s="14">
        <v>0.14142135623730978</v>
      </c>
      <c r="K5" s="20">
        <f>K27</f>
        <v>0</v>
      </c>
      <c r="L5" s="19">
        <v>3</v>
      </c>
    </row>
    <row r="6" spans="1:15" x14ac:dyDescent="0.55000000000000004">
      <c r="A6">
        <v>4.5999999999999996</v>
      </c>
      <c r="B6">
        <v>3.1</v>
      </c>
      <c r="C6">
        <v>1.5</v>
      </c>
      <c r="D6">
        <v>0.2</v>
      </c>
      <c r="E6" t="s">
        <v>58</v>
      </c>
      <c r="F6" s="13" t="str">
        <v>Obs 5: real=Setosa pred=Setosa</v>
      </c>
      <c r="G6" s="13" t="str">
        <v>Setosa</v>
      </c>
      <c r="H6" s="31" t="str">
        <v>Setosa</v>
      </c>
      <c r="I6" s="14">
        <v>0.14142135623730964</v>
      </c>
      <c r="K6" s="20">
        <f>K32</f>
        <v>0</v>
      </c>
      <c r="L6" s="19">
        <v>4</v>
      </c>
    </row>
    <row r="7" spans="1:15" x14ac:dyDescent="0.55000000000000004">
      <c r="A7">
        <v>5</v>
      </c>
      <c r="B7">
        <v>3.6</v>
      </c>
      <c r="C7">
        <v>1.4</v>
      </c>
      <c r="D7">
        <v>0.2</v>
      </c>
      <c r="E7" t="s">
        <v>58</v>
      </c>
      <c r="F7" s="13" t="str">
        <v>Obs 6: real=Setosa pred=Setosa</v>
      </c>
      <c r="G7" s="13" t="str">
        <v>Setosa</v>
      </c>
      <c r="H7" s="31" t="str">
        <v>Setosa</v>
      </c>
      <c r="I7" s="14">
        <v>0.14142135623730925</v>
      </c>
      <c r="K7" s="26">
        <f>K38</f>
        <v>0</v>
      </c>
      <c r="L7" s="27">
        <v>5</v>
      </c>
    </row>
    <row r="8" spans="1:15" x14ac:dyDescent="0.55000000000000004">
      <c r="A8">
        <v>5.4</v>
      </c>
      <c r="B8">
        <v>3.9</v>
      </c>
      <c r="C8">
        <v>1.7</v>
      </c>
      <c r="D8">
        <v>0.4</v>
      </c>
      <c r="E8" t="s">
        <v>58</v>
      </c>
      <c r="F8" s="13" t="str">
        <v>Obs 7: real=Setosa pred=Setosa</v>
      </c>
      <c r="G8" s="13" t="str">
        <v>Setosa</v>
      </c>
      <c r="H8" s="31" t="str">
        <v>Setosa</v>
      </c>
      <c r="I8" s="14">
        <v>0.33166247903553986</v>
      </c>
    </row>
    <row r="9" spans="1:15" ht="17.399999999999999" x14ac:dyDescent="0.55000000000000004">
      <c r="A9">
        <v>4.5999999999999996</v>
      </c>
      <c r="B9">
        <v>3.4</v>
      </c>
      <c r="C9">
        <v>1.4</v>
      </c>
      <c r="D9">
        <v>0.3</v>
      </c>
      <c r="E9" t="s">
        <v>58</v>
      </c>
      <c r="F9" s="13" t="str">
        <v>Obs 8: real=Setosa pred=Setosa</v>
      </c>
      <c r="G9" s="13" t="str">
        <v>Setosa</v>
      </c>
      <c r="H9" s="31" t="str">
        <v>Setosa</v>
      </c>
      <c r="I9" s="14">
        <v>0.22360679774997871</v>
      </c>
      <c r="K9" s="4" t="s">
        <v>12</v>
      </c>
    </row>
    <row r="10" spans="1:15" x14ac:dyDescent="0.55000000000000004">
      <c r="A10">
        <v>5</v>
      </c>
      <c r="B10">
        <v>3.4</v>
      </c>
      <c r="C10">
        <v>1.5</v>
      </c>
      <c r="D10">
        <v>0.2</v>
      </c>
      <c r="E10" t="s">
        <v>58</v>
      </c>
      <c r="F10" s="13" t="str">
        <v>Obs 9: real=Setosa pred=Setosa</v>
      </c>
      <c r="G10" s="13" t="str">
        <v>Setosa</v>
      </c>
      <c r="H10" s="31" t="str">
        <v>Setosa</v>
      </c>
      <c r="I10" s="14">
        <v>9.9999999999999645E-2</v>
      </c>
      <c r="L10" s="13" t="str" cm="1">
        <f t="array" ref="L10:L14">_xll.J.KNN($A$3:$D$12,$E$3:$E$12,$O$1,$L$2)</f>
        <v>[01] Clasificacion KNN</v>
      </c>
    </row>
    <row r="11" spans="1:15" x14ac:dyDescent="0.55000000000000004">
      <c r="A11">
        <v>4.4000000000000004</v>
      </c>
      <c r="B11">
        <v>2.9</v>
      </c>
      <c r="C11">
        <v>1.4</v>
      </c>
      <c r="D11">
        <v>0.2</v>
      </c>
      <c r="E11" t="s">
        <v>58</v>
      </c>
      <c r="F11" s="13" t="str">
        <v>Obs 10: real=Setosa pred=Setosa</v>
      </c>
      <c r="G11" s="13" t="str">
        <v>Setosa</v>
      </c>
      <c r="H11" s="31" t="str">
        <v>Setosa</v>
      </c>
      <c r="I11" s="14">
        <v>0.14142135623730948</v>
      </c>
      <c r="L11" s="13" t="str">
        <v>[02] Precision por clase</v>
      </c>
    </row>
    <row r="12" spans="1:15" x14ac:dyDescent="0.55000000000000004">
      <c r="A12">
        <v>4.9000000000000004</v>
      </c>
      <c r="B12">
        <v>3.1</v>
      </c>
      <c r="C12">
        <v>1.5</v>
      </c>
      <c r="D12">
        <v>0.1</v>
      </c>
      <c r="E12" t="s">
        <v>58</v>
      </c>
      <c r="F12" s="13" t="str">
        <v>Obs 11: real=Setosa pred=Setosa</v>
      </c>
      <c r="G12" s="13" t="str">
        <v>Setosa</v>
      </c>
      <c r="H12" s="31" t="str">
        <v>Setosa</v>
      </c>
      <c r="I12" s="14">
        <v>0.1</v>
      </c>
      <c r="L12" s="13" t="str">
        <v>[03] Matriz de confusion</v>
      </c>
    </row>
    <row r="13" spans="1:15" x14ac:dyDescent="0.55000000000000004">
      <c r="A13">
        <v>5.4</v>
      </c>
      <c r="B13">
        <v>3.7</v>
      </c>
      <c r="C13">
        <v>1.5</v>
      </c>
      <c r="D13">
        <v>0.2</v>
      </c>
      <c r="E13" t="s">
        <v>58</v>
      </c>
      <c r="F13" s="13" t="str">
        <v>Obs 12: real=Setosa pred=Setosa</v>
      </c>
      <c r="G13" s="13" t="str">
        <v>Setosa</v>
      </c>
      <c r="H13" s="31" t="str">
        <v>Setosa</v>
      </c>
      <c r="I13" s="14">
        <v>0.10000000000000053</v>
      </c>
      <c r="L13" s="13" t="str">
        <v>[04] Prediccion leave-one-out</v>
      </c>
    </row>
    <row r="14" spans="1:15" x14ac:dyDescent="0.55000000000000004">
      <c r="A14">
        <v>4.8</v>
      </c>
      <c r="B14">
        <v>3.4</v>
      </c>
      <c r="C14">
        <v>1.6</v>
      </c>
      <c r="D14">
        <v>0.2</v>
      </c>
      <c r="E14" t="s">
        <v>58</v>
      </c>
      <c r="F14" s="13" t="str">
        <v>Obs 13: real=Setosa pred=Setosa</v>
      </c>
      <c r="G14" s="13" t="str">
        <v>Setosa</v>
      </c>
      <c r="H14" s="31" t="str">
        <v>Setosa</v>
      </c>
      <c r="I14" s="14">
        <v>0.22360679774997858</v>
      </c>
      <c r="L14" s="13" t="str">
        <v>[05] Distancias al vecino mas cercano</v>
      </c>
    </row>
    <row r="15" spans="1:15" x14ac:dyDescent="0.55000000000000004">
      <c r="A15">
        <v>4.8</v>
      </c>
      <c r="B15">
        <v>3</v>
      </c>
      <c r="C15">
        <v>1.4</v>
      </c>
      <c r="D15">
        <v>0.1</v>
      </c>
      <c r="E15" t="s">
        <v>58</v>
      </c>
      <c r="F15" s="13" t="str">
        <v>Obs 14: real=Setosa pred=Setosa</v>
      </c>
      <c r="G15" s="13" t="str">
        <v>Setosa</v>
      </c>
      <c r="H15" s="31" t="str">
        <v>Setosa</v>
      </c>
      <c r="I15" s="14">
        <v>0.14142135623730989</v>
      </c>
    </row>
    <row r="16" spans="1:15" x14ac:dyDescent="0.55000000000000004">
      <c r="A16">
        <v>4.3</v>
      </c>
      <c r="B16">
        <v>3</v>
      </c>
      <c r="C16">
        <v>1.1000000000000001</v>
      </c>
      <c r="D16">
        <v>0.1</v>
      </c>
      <c r="E16" t="s">
        <v>58</v>
      </c>
      <c r="F16" s="13" t="str">
        <v>Obs 15: real=Setosa pred=Setosa</v>
      </c>
      <c r="G16" s="13" t="str">
        <v>Setosa</v>
      </c>
      <c r="H16" s="31" t="str">
        <v>Setosa</v>
      </c>
      <c r="I16" s="14">
        <v>0.24494897427831799</v>
      </c>
    </row>
    <row r="17" spans="1:14" ht="17.399999999999999" x14ac:dyDescent="0.55000000000000004">
      <c r="A17">
        <v>5.8</v>
      </c>
      <c r="B17">
        <v>4</v>
      </c>
      <c r="C17">
        <v>1.2</v>
      </c>
      <c r="D17">
        <v>0.2</v>
      </c>
      <c r="E17" t="s">
        <v>58</v>
      </c>
      <c r="F17" s="13" t="str">
        <v>Obs 16: real=Setosa pred=Setosa</v>
      </c>
      <c r="G17" s="13" t="str">
        <v>Setosa</v>
      </c>
      <c r="H17" s="31" t="str">
        <v>Setosa</v>
      </c>
      <c r="I17" s="14">
        <v>0.41231056256176601</v>
      </c>
      <c r="K17" s="4" t="s">
        <v>72</v>
      </c>
    </row>
    <row r="18" spans="1:14" x14ac:dyDescent="0.55000000000000004">
      <c r="A18">
        <v>5.7</v>
      </c>
      <c r="B18">
        <v>4.4000000000000004</v>
      </c>
      <c r="C18">
        <v>1.5</v>
      </c>
      <c r="D18">
        <v>0.4</v>
      </c>
      <c r="E18" t="s">
        <v>58</v>
      </c>
      <c r="F18" s="13" t="str">
        <v>Obs 17: real=Setosa pred=Setosa</v>
      </c>
      <c r="G18" s="13" t="str">
        <v>Setosa</v>
      </c>
      <c r="H18" s="31" t="str">
        <v>Setosa</v>
      </c>
      <c r="I18" s="14">
        <v>0.36055512754639918</v>
      </c>
      <c r="L18" t="str" cm="1">
        <f t="array" ref="L18">_xll.J.Clasificacion($A$3:$D$152,$E$3:$E$152,$O$1,$L$4)</f>
        <v>julia exception</v>
      </c>
    </row>
    <row r="19" spans="1:14" x14ac:dyDescent="0.55000000000000004">
      <c r="A19">
        <v>5.4</v>
      </c>
      <c r="B19">
        <v>3.9</v>
      </c>
      <c r="C19">
        <v>1.3</v>
      </c>
      <c r="D19">
        <v>0.4</v>
      </c>
      <c r="E19" t="s">
        <v>58</v>
      </c>
      <c r="F19" s="13" t="str">
        <v>Obs 18: real=Setosa pred=Setosa</v>
      </c>
      <c r="G19" s="13" t="str">
        <v>Setosa</v>
      </c>
      <c r="H19" s="31" t="str">
        <v>Setosa</v>
      </c>
      <c r="I19" s="14">
        <v>0.34641016151377529</v>
      </c>
    </row>
    <row r="20" spans="1:14" ht="17.399999999999999" x14ac:dyDescent="0.55000000000000004">
      <c r="A20">
        <v>5.0999999999999996</v>
      </c>
      <c r="B20">
        <v>3.5</v>
      </c>
      <c r="C20">
        <v>1.4</v>
      </c>
      <c r="D20">
        <v>0.3</v>
      </c>
      <c r="E20" t="s">
        <v>58</v>
      </c>
      <c r="F20" s="13" t="str">
        <v>Obs 19: real=Setosa pred=Setosa</v>
      </c>
      <c r="G20" s="13" t="str">
        <v>Setosa</v>
      </c>
      <c r="H20" s="31" t="str">
        <v>Setosa</v>
      </c>
      <c r="I20" s="14">
        <v>9.9999999999999978E-2</v>
      </c>
      <c r="K20" s="4" t="s">
        <v>73</v>
      </c>
    </row>
    <row r="21" spans="1:14" x14ac:dyDescent="0.55000000000000004">
      <c r="A21">
        <v>5.7</v>
      </c>
      <c r="B21">
        <v>3.8</v>
      </c>
      <c r="C21">
        <v>1.7</v>
      </c>
      <c r="D21">
        <v>0.3</v>
      </c>
      <c r="E21" t="s">
        <v>58</v>
      </c>
      <c r="F21" s="13" t="str">
        <v>Obs 20: real=Setosa pred=Setosa</v>
      </c>
      <c r="G21" s="13" t="str">
        <v>Setosa</v>
      </c>
      <c r="H21" s="31" t="str">
        <v>Setosa</v>
      </c>
      <c r="I21" s="14">
        <v>0.33166247903553986</v>
      </c>
      <c r="L21" s="13" cm="1">
        <f t="array" ref="L21:N23">_xll.J.KNN($A$3:$D$152,$E$3:$E$152,$O$1,$L$5)</f>
        <v>50</v>
      </c>
      <c r="M21" s="13">
        <v>0</v>
      </c>
      <c r="N21" s="13">
        <v>0</v>
      </c>
    </row>
    <row r="22" spans="1:14" x14ac:dyDescent="0.55000000000000004">
      <c r="A22">
        <v>5.0999999999999996</v>
      </c>
      <c r="B22">
        <v>3.8</v>
      </c>
      <c r="C22">
        <v>1.5</v>
      </c>
      <c r="D22">
        <v>0.3</v>
      </c>
      <c r="E22" t="s">
        <v>58</v>
      </c>
      <c r="F22" s="13" t="str">
        <v>Obs 21: real=Setosa pred=Setosa</v>
      </c>
      <c r="G22" s="13" t="str">
        <v>Setosa</v>
      </c>
      <c r="H22" s="31" t="str">
        <v>Setosa</v>
      </c>
      <c r="I22" s="14">
        <v>0.14142135623730928</v>
      </c>
      <c r="L22" s="13">
        <v>0</v>
      </c>
      <c r="M22" s="13">
        <v>47</v>
      </c>
      <c r="N22" s="13">
        <v>3</v>
      </c>
    </row>
    <row r="23" spans="1:14" x14ac:dyDescent="0.55000000000000004">
      <c r="A23">
        <v>5.4</v>
      </c>
      <c r="B23">
        <v>3.4</v>
      </c>
      <c r="C23">
        <v>1.7</v>
      </c>
      <c r="D23">
        <v>0.2</v>
      </c>
      <c r="E23" t="s">
        <v>58</v>
      </c>
      <c r="F23" s="13" t="str">
        <v>Obs 22: real=Setosa pred=Setosa</v>
      </c>
      <c r="G23" s="13" t="str">
        <v>Setosa</v>
      </c>
      <c r="H23" s="31" t="str">
        <v>Setosa</v>
      </c>
      <c r="I23" s="14">
        <v>0.28284271247461901</v>
      </c>
      <c r="L23" s="13">
        <v>0</v>
      </c>
      <c r="M23" s="13">
        <v>3</v>
      </c>
      <c r="N23" s="13">
        <v>47</v>
      </c>
    </row>
    <row r="24" spans="1:14" x14ac:dyDescent="0.55000000000000004">
      <c r="A24">
        <v>5.0999999999999996</v>
      </c>
      <c r="B24">
        <v>3.7</v>
      </c>
      <c r="C24">
        <v>1.5</v>
      </c>
      <c r="D24">
        <v>0.4</v>
      </c>
      <c r="E24" t="s">
        <v>58</v>
      </c>
      <c r="F24" s="13" t="str">
        <v>Obs 23: real=Setosa pred=Setosa</v>
      </c>
      <c r="G24" s="13" t="str">
        <v>Setosa</v>
      </c>
      <c r="H24" s="31" t="str">
        <v>Setosa</v>
      </c>
      <c r="I24" s="14">
        <v>0.14142135623730928</v>
      </c>
    </row>
    <row r="25" spans="1:14" ht="17.399999999999999" x14ac:dyDescent="0.55000000000000004">
      <c r="A25">
        <v>4.5999999999999996</v>
      </c>
      <c r="B25">
        <v>3.6</v>
      </c>
      <c r="C25">
        <v>1</v>
      </c>
      <c r="D25">
        <v>0.2</v>
      </c>
      <c r="E25" t="s">
        <v>58</v>
      </c>
      <c r="F25" s="13" t="str">
        <v>Obs 24: real=Setosa pred=Setosa</v>
      </c>
      <c r="G25" s="13" t="str">
        <v>Setosa</v>
      </c>
      <c r="H25" s="31" t="str">
        <v>Setosa</v>
      </c>
      <c r="I25" s="14">
        <v>0.45825756949558394</v>
      </c>
      <c r="K25" s="4" t="s">
        <v>74</v>
      </c>
    </row>
    <row r="26" spans="1:14" x14ac:dyDescent="0.55000000000000004">
      <c r="A26">
        <v>5.0999999999999996</v>
      </c>
      <c r="B26">
        <v>3.3</v>
      </c>
      <c r="C26">
        <v>1.7</v>
      </c>
      <c r="D26">
        <v>0.5</v>
      </c>
      <c r="E26" t="s">
        <v>58</v>
      </c>
      <c r="F26" s="13" t="str">
        <v>Obs 25: real=Setosa pred=Setosa</v>
      </c>
      <c r="G26" s="13" t="str">
        <v>Setosa</v>
      </c>
      <c r="H26" s="31" t="str">
        <v>Setosa</v>
      </c>
      <c r="I26" s="14">
        <v>0.19999999999999979</v>
      </c>
    </row>
    <row r="27" spans="1:14" x14ac:dyDescent="0.55000000000000004">
      <c r="A27">
        <v>4.8</v>
      </c>
      <c r="B27">
        <v>3.4</v>
      </c>
      <c r="C27">
        <v>1.9</v>
      </c>
      <c r="D27">
        <v>0.2</v>
      </c>
      <c r="E27" t="s">
        <v>58</v>
      </c>
      <c r="F27" s="13" t="str">
        <v>Obs 26: real=Setosa pred=Setosa</v>
      </c>
      <c r="G27" s="13" t="str">
        <v>Setosa</v>
      </c>
      <c r="H27" s="31" t="str">
        <v>Setosa</v>
      </c>
      <c r="I27" s="14">
        <v>0.29999999999999982</v>
      </c>
    </row>
    <row r="28" spans="1:14" x14ac:dyDescent="0.55000000000000004">
      <c r="A28">
        <v>5</v>
      </c>
      <c r="B28">
        <v>3</v>
      </c>
      <c r="C28">
        <v>1.6</v>
      </c>
      <c r="D28">
        <v>0.2</v>
      </c>
      <c r="E28" t="s">
        <v>58</v>
      </c>
      <c r="F28" s="13" t="str">
        <v>Obs 27: real=Setosa pred=Setosa</v>
      </c>
      <c r="G28" s="13" t="str">
        <v>Setosa</v>
      </c>
      <c r="H28" s="31" t="str">
        <v>Setosa</v>
      </c>
      <c r="I28" s="14">
        <v>0.17320508075688762</v>
      </c>
    </row>
    <row r="29" spans="1:14" x14ac:dyDescent="0.55000000000000004">
      <c r="A29">
        <v>5</v>
      </c>
      <c r="B29">
        <v>3.4</v>
      </c>
      <c r="C29">
        <v>1.6</v>
      </c>
      <c r="D29">
        <v>0.4</v>
      </c>
      <c r="E29" t="s">
        <v>58</v>
      </c>
      <c r="F29" s="13" t="str">
        <v>Obs 28: real=Setosa pred=Setosa</v>
      </c>
      <c r="G29" s="13" t="str">
        <v>Setosa</v>
      </c>
      <c r="H29" s="31" t="str">
        <v>Setosa</v>
      </c>
      <c r="I29" s="14">
        <v>0.19999999999999979</v>
      </c>
    </row>
    <row r="30" spans="1:14" x14ac:dyDescent="0.55000000000000004">
      <c r="A30">
        <v>5.2</v>
      </c>
      <c r="B30">
        <v>3.5</v>
      </c>
      <c r="C30">
        <v>1.5</v>
      </c>
      <c r="D30">
        <v>0.2</v>
      </c>
      <c r="E30" t="s">
        <v>58</v>
      </c>
      <c r="F30" s="13" t="str">
        <v>Obs 29: real=Setosa pred=Setosa</v>
      </c>
      <c r="G30" s="13" t="str">
        <v>Setosa</v>
      </c>
      <c r="H30" s="31" t="str">
        <v>Setosa</v>
      </c>
      <c r="I30" s="14">
        <v>0.14142135623730964</v>
      </c>
    </row>
    <row r="31" spans="1:14" x14ac:dyDescent="0.55000000000000004">
      <c r="A31">
        <v>5.2</v>
      </c>
      <c r="B31">
        <v>3.4</v>
      </c>
      <c r="C31">
        <v>1.4</v>
      </c>
      <c r="D31">
        <v>0.2</v>
      </c>
      <c r="E31" t="s">
        <v>58</v>
      </c>
      <c r="F31" s="13" t="str">
        <v>Obs 30: real=Setosa pred=Setosa</v>
      </c>
      <c r="G31" s="13" t="str">
        <v>Setosa</v>
      </c>
      <c r="H31" s="31" t="str">
        <v>Setosa</v>
      </c>
      <c r="I31" s="14">
        <v>0.14142135623730964</v>
      </c>
    </row>
    <row r="32" spans="1:14" x14ac:dyDescent="0.55000000000000004">
      <c r="A32">
        <v>4.7</v>
      </c>
      <c r="B32">
        <v>3.2</v>
      </c>
      <c r="C32">
        <v>1.6</v>
      </c>
      <c r="D32">
        <v>0.2</v>
      </c>
      <c r="E32" t="s">
        <v>58</v>
      </c>
      <c r="G32" s="12" t="str">
        <v>Setosa</v>
      </c>
      <c r="H32" s="12" t="str">
        <v>Setosa</v>
      </c>
      <c r="I32" s="14">
        <v>0.14142135623730931</v>
      </c>
    </row>
    <row r="33" spans="1:9" x14ac:dyDescent="0.55000000000000004">
      <c r="A33">
        <v>4.8</v>
      </c>
      <c r="B33">
        <v>3.1</v>
      </c>
      <c r="C33">
        <v>1.6</v>
      </c>
      <c r="D33">
        <v>0.2</v>
      </c>
      <c r="E33" t="s">
        <v>58</v>
      </c>
      <c r="G33" s="12" t="str">
        <v>Setosa</v>
      </c>
      <c r="H33" s="12" t="str">
        <v>Setosa</v>
      </c>
      <c r="I33" s="14">
        <v>0.14142135623730931</v>
      </c>
    </row>
    <row r="34" spans="1:9" x14ac:dyDescent="0.55000000000000004">
      <c r="A34">
        <v>5.4</v>
      </c>
      <c r="B34">
        <v>3.4</v>
      </c>
      <c r="C34">
        <v>1.5</v>
      </c>
      <c r="D34">
        <v>0.4</v>
      </c>
      <c r="E34" t="s">
        <v>58</v>
      </c>
      <c r="G34" s="12" t="str">
        <v>Setosa</v>
      </c>
      <c r="H34" s="12" t="str">
        <v>Setosa</v>
      </c>
      <c r="I34" s="14">
        <v>0.28284271247461901</v>
      </c>
    </row>
    <row r="35" spans="1:9" x14ac:dyDescent="0.55000000000000004">
      <c r="A35">
        <v>5.2</v>
      </c>
      <c r="B35">
        <v>4.0999999999999996</v>
      </c>
      <c r="C35">
        <v>1.5</v>
      </c>
      <c r="D35">
        <v>0.1</v>
      </c>
      <c r="E35" t="s">
        <v>58</v>
      </c>
      <c r="G35" s="12" t="str">
        <v>Setosa</v>
      </c>
      <c r="H35" s="12" t="str">
        <v>Setosa</v>
      </c>
      <c r="I35" s="14">
        <v>0.34641016151377552</v>
      </c>
    </row>
    <row r="36" spans="1:9" x14ac:dyDescent="0.55000000000000004">
      <c r="A36">
        <v>5.5</v>
      </c>
      <c r="B36">
        <v>4.2</v>
      </c>
      <c r="C36">
        <v>1.4</v>
      </c>
      <c r="D36">
        <v>0.2</v>
      </c>
      <c r="E36" t="s">
        <v>58</v>
      </c>
      <c r="G36" s="12" t="str">
        <v>Setosa</v>
      </c>
      <c r="H36" s="12" t="str">
        <v>Setosa</v>
      </c>
      <c r="I36" s="14">
        <v>0.34641016151377552</v>
      </c>
    </row>
    <row r="37" spans="1:9" x14ac:dyDescent="0.55000000000000004">
      <c r="A37">
        <v>4.9000000000000004</v>
      </c>
      <c r="B37">
        <v>3.1</v>
      </c>
      <c r="C37">
        <v>1.5</v>
      </c>
      <c r="D37">
        <v>0.2</v>
      </c>
      <c r="E37" t="s">
        <v>58</v>
      </c>
      <c r="G37" s="12" t="str">
        <v>Setosa</v>
      </c>
      <c r="H37" s="12" t="str">
        <v>Setosa</v>
      </c>
      <c r="I37" s="14">
        <v>0.1</v>
      </c>
    </row>
    <row r="38" spans="1:9" x14ac:dyDescent="0.55000000000000004">
      <c r="A38">
        <v>5</v>
      </c>
      <c r="B38">
        <v>3.2</v>
      </c>
      <c r="C38">
        <v>1.2</v>
      </c>
      <c r="D38">
        <v>0.2</v>
      </c>
      <c r="E38" t="s">
        <v>58</v>
      </c>
      <c r="G38" s="12" t="str">
        <v>Setosa</v>
      </c>
      <c r="H38" s="12" t="str">
        <v>Setosa</v>
      </c>
      <c r="I38" s="14">
        <v>0.22360679774997877</v>
      </c>
    </row>
    <row r="39" spans="1:9" x14ac:dyDescent="0.55000000000000004">
      <c r="A39">
        <v>5.5</v>
      </c>
      <c r="B39">
        <v>3.5</v>
      </c>
      <c r="C39">
        <v>1.3</v>
      </c>
      <c r="D39">
        <v>0.2</v>
      </c>
      <c r="E39" t="s">
        <v>58</v>
      </c>
      <c r="G39" s="12" t="str">
        <v>Setosa</v>
      </c>
      <c r="H39" s="12" t="str">
        <v>Setosa</v>
      </c>
      <c r="I39" s="14">
        <v>0.3</v>
      </c>
    </row>
    <row r="40" spans="1:9" x14ac:dyDescent="0.55000000000000004">
      <c r="A40">
        <v>4.9000000000000004</v>
      </c>
      <c r="B40">
        <v>3.6</v>
      </c>
      <c r="C40">
        <v>1.4</v>
      </c>
      <c r="D40">
        <v>0.1</v>
      </c>
      <c r="E40" t="s">
        <v>58</v>
      </c>
      <c r="G40" s="12" t="str">
        <v>Setosa</v>
      </c>
      <c r="H40" s="12" t="str">
        <v>Setosa</v>
      </c>
      <c r="I40" s="14">
        <v>0.14142135623730925</v>
      </c>
    </row>
    <row r="41" spans="1:9" x14ac:dyDescent="0.55000000000000004">
      <c r="A41">
        <v>4.4000000000000004</v>
      </c>
      <c r="B41">
        <v>3</v>
      </c>
      <c r="C41">
        <v>1.3</v>
      </c>
      <c r="D41">
        <v>0.2</v>
      </c>
      <c r="E41" t="s">
        <v>58</v>
      </c>
      <c r="G41" s="12" t="str">
        <v>Setosa</v>
      </c>
      <c r="H41" s="12" t="str">
        <v>Setosa</v>
      </c>
      <c r="I41" s="14">
        <v>0.14142135623730948</v>
      </c>
    </row>
    <row r="42" spans="1:9" x14ac:dyDescent="0.55000000000000004">
      <c r="A42">
        <v>5.0999999999999996</v>
      </c>
      <c r="B42">
        <v>3.4</v>
      </c>
      <c r="C42">
        <v>1.5</v>
      </c>
      <c r="D42">
        <v>0.2</v>
      </c>
      <c r="E42" t="s">
        <v>58</v>
      </c>
      <c r="G42" s="12" t="str">
        <v>Setosa</v>
      </c>
      <c r="H42" s="12" t="str">
        <v>Setosa</v>
      </c>
      <c r="I42" s="14">
        <v>9.9999999999999645E-2</v>
      </c>
    </row>
    <row r="43" spans="1:9" x14ac:dyDescent="0.55000000000000004">
      <c r="A43">
        <v>5</v>
      </c>
      <c r="B43">
        <v>3.5</v>
      </c>
      <c r="C43">
        <v>1.3</v>
      </c>
      <c r="D43">
        <v>0.3</v>
      </c>
      <c r="E43" t="s">
        <v>58</v>
      </c>
      <c r="G43" s="12" t="str">
        <v>Setosa</v>
      </c>
      <c r="H43" s="12" t="str">
        <v>Setosa</v>
      </c>
      <c r="I43" s="14">
        <v>0.14142135623730917</v>
      </c>
    </row>
    <row r="44" spans="1:9" x14ac:dyDescent="0.55000000000000004">
      <c r="A44">
        <v>4.5</v>
      </c>
      <c r="B44">
        <v>2.2999999999999998</v>
      </c>
      <c r="C44">
        <v>1.3</v>
      </c>
      <c r="D44">
        <v>0.3</v>
      </c>
      <c r="E44" t="s">
        <v>58</v>
      </c>
      <c r="G44" s="12" t="str">
        <v>Setosa</v>
      </c>
      <c r="H44" s="12" t="str">
        <v>Setosa</v>
      </c>
      <c r="I44" s="14">
        <v>0.62449979983983983</v>
      </c>
    </row>
    <row r="45" spans="1:9" x14ac:dyDescent="0.55000000000000004">
      <c r="A45">
        <v>4.4000000000000004</v>
      </c>
      <c r="B45">
        <v>3.2</v>
      </c>
      <c r="C45">
        <v>1.3</v>
      </c>
      <c r="D45">
        <v>0.2</v>
      </c>
      <c r="E45" t="s">
        <v>58</v>
      </c>
      <c r="G45" s="12" t="str">
        <v>Setosa</v>
      </c>
      <c r="H45" s="12" t="str">
        <v>Setosa</v>
      </c>
      <c r="I45" s="14">
        <v>0.20000000000000018</v>
      </c>
    </row>
    <row r="46" spans="1:9" x14ac:dyDescent="0.55000000000000004">
      <c r="A46">
        <v>5</v>
      </c>
      <c r="B46">
        <v>3.5</v>
      </c>
      <c r="C46">
        <v>1.6</v>
      </c>
      <c r="D46">
        <v>0.6</v>
      </c>
      <c r="E46" t="s">
        <v>58</v>
      </c>
      <c r="G46" s="12" t="str">
        <v>Setosa</v>
      </c>
      <c r="H46" s="12" t="str">
        <v>Setosa</v>
      </c>
      <c r="I46" s="14">
        <v>0.22360679774997896</v>
      </c>
    </row>
    <row r="47" spans="1:9" x14ac:dyDescent="0.55000000000000004">
      <c r="A47">
        <v>5.0999999999999996</v>
      </c>
      <c r="B47">
        <v>3.8</v>
      </c>
      <c r="C47">
        <v>1.9</v>
      </c>
      <c r="D47">
        <v>0.4</v>
      </c>
      <c r="E47" t="s">
        <v>58</v>
      </c>
      <c r="G47" s="12" t="str">
        <v>Setosa</v>
      </c>
      <c r="H47" s="12" t="str">
        <v>Setosa</v>
      </c>
      <c r="I47" s="14">
        <v>0.36055512754639879</v>
      </c>
    </row>
    <row r="48" spans="1:9" x14ac:dyDescent="0.55000000000000004">
      <c r="A48">
        <v>4.8</v>
      </c>
      <c r="B48">
        <v>3</v>
      </c>
      <c r="C48">
        <v>1.4</v>
      </c>
      <c r="D48">
        <v>0.3</v>
      </c>
      <c r="E48" t="s">
        <v>58</v>
      </c>
      <c r="G48" s="12" t="str">
        <v>Setosa</v>
      </c>
      <c r="H48" s="12" t="str">
        <v>Setosa</v>
      </c>
      <c r="I48" s="14">
        <v>0.14142135623730986</v>
      </c>
    </row>
    <row r="49" spans="1:9" x14ac:dyDescent="0.55000000000000004">
      <c r="A49">
        <v>5.0999999999999996</v>
      </c>
      <c r="B49">
        <v>3.8</v>
      </c>
      <c r="C49">
        <v>1.6</v>
      </c>
      <c r="D49">
        <v>0.2</v>
      </c>
      <c r="E49" t="s">
        <v>58</v>
      </c>
      <c r="G49" s="12" t="str">
        <v>Setosa</v>
      </c>
      <c r="H49" s="12" t="str">
        <v>Setosa</v>
      </c>
      <c r="I49" s="14">
        <v>0.14142135623730953</v>
      </c>
    </row>
    <row r="50" spans="1:9" x14ac:dyDescent="0.55000000000000004">
      <c r="A50">
        <v>4.5999999999999996</v>
      </c>
      <c r="B50">
        <v>3.2</v>
      </c>
      <c r="C50">
        <v>1.4</v>
      </c>
      <c r="D50">
        <v>0.2</v>
      </c>
      <c r="E50" t="s">
        <v>58</v>
      </c>
      <c r="G50" s="12" t="str">
        <v>Setosa</v>
      </c>
      <c r="H50" s="12" t="str">
        <v>Setosa</v>
      </c>
      <c r="I50" s="14">
        <v>0.14142135623730964</v>
      </c>
    </row>
    <row r="51" spans="1:9" x14ac:dyDescent="0.55000000000000004">
      <c r="A51">
        <v>5.3</v>
      </c>
      <c r="B51">
        <v>3.7</v>
      </c>
      <c r="C51">
        <v>1.5</v>
      </c>
      <c r="D51">
        <v>0.2</v>
      </c>
      <c r="E51" t="s">
        <v>58</v>
      </c>
      <c r="G51" s="12" t="str">
        <v>Setosa</v>
      </c>
      <c r="H51" s="12" t="str">
        <v>Setosa</v>
      </c>
      <c r="I51" s="14">
        <v>0.10000000000000053</v>
      </c>
    </row>
    <row r="52" spans="1:9" x14ac:dyDescent="0.55000000000000004">
      <c r="A52">
        <v>5</v>
      </c>
      <c r="B52">
        <v>3.3</v>
      </c>
      <c r="C52">
        <v>1.4</v>
      </c>
      <c r="D52">
        <v>0.2</v>
      </c>
      <c r="E52" t="s">
        <v>58</v>
      </c>
      <c r="G52" s="12" t="str">
        <v>Setosa</v>
      </c>
      <c r="H52" s="12" t="str">
        <v>Setosa</v>
      </c>
      <c r="I52" s="14">
        <v>0.14142135623730964</v>
      </c>
    </row>
    <row r="53" spans="1:9" x14ac:dyDescent="0.55000000000000004">
      <c r="A53">
        <v>7</v>
      </c>
      <c r="B53">
        <v>3.2</v>
      </c>
      <c r="C53">
        <v>4.7</v>
      </c>
      <c r="D53">
        <v>1.4</v>
      </c>
      <c r="E53" t="s">
        <v>59</v>
      </c>
      <c r="G53" s="12" t="str">
        <v>Versicolor</v>
      </c>
      <c r="H53" s="12" t="str">
        <v>Versicolor</v>
      </c>
      <c r="I53" s="14">
        <v>0.26457513110645914</v>
      </c>
    </row>
    <row r="54" spans="1:9" x14ac:dyDescent="0.55000000000000004">
      <c r="A54">
        <v>6.4</v>
      </c>
      <c r="B54">
        <v>3.2</v>
      </c>
      <c r="C54">
        <v>4.5</v>
      </c>
      <c r="D54">
        <v>1.5</v>
      </c>
      <c r="E54" t="s">
        <v>59</v>
      </c>
      <c r="G54" s="12" t="str">
        <v>Versicolor</v>
      </c>
      <c r="H54" s="12" t="str">
        <v>Versicolor</v>
      </c>
      <c r="I54" s="14">
        <v>0.2645751311064593</v>
      </c>
    </row>
    <row r="55" spans="1:9" x14ac:dyDescent="0.55000000000000004">
      <c r="A55">
        <v>6.9</v>
      </c>
      <c r="B55">
        <v>3.1</v>
      </c>
      <c r="C55">
        <v>4.9000000000000004</v>
      </c>
      <c r="D55">
        <v>1.5</v>
      </c>
      <c r="E55" t="s">
        <v>59</v>
      </c>
      <c r="G55" s="12" t="str">
        <v>Versicolor</v>
      </c>
      <c r="H55" s="12" t="str">
        <v>Versicolor</v>
      </c>
      <c r="I55" s="14">
        <v>0.26457513110645914</v>
      </c>
    </row>
    <row r="56" spans="1:9" x14ac:dyDescent="0.55000000000000004">
      <c r="A56">
        <v>5.5</v>
      </c>
      <c r="B56">
        <v>2.2999999999999998</v>
      </c>
      <c r="C56">
        <v>4</v>
      </c>
      <c r="D56">
        <v>1.3</v>
      </c>
      <c r="E56" t="s">
        <v>59</v>
      </c>
      <c r="G56" s="12" t="str">
        <v>Versicolor</v>
      </c>
      <c r="H56" s="12" t="str">
        <v>Versicolor</v>
      </c>
      <c r="I56" s="14">
        <v>0.20000000000000018</v>
      </c>
    </row>
    <row r="57" spans="1:9" x14ac:dyDescent="0.55000000000000004">
      <c r="A57">
        <v>6.5</v>
      </c>
      <c r="B57">
        <v>2.8</v>
      </c>
      <c r="C57">
        <v>4.5999999999999996</v>
      </c>
      <c r="D57">
        <v>1.5</v>
      </c>
      <c r="E57" t="s">
        <v>59</v>
      </c>
      <c r="G57" s="12" t="str">
        <v>Versicolor</v>
      </c>
      <c r="H57" s="12" t="str">
        <v>Versicolor</v>
      </c>
      <c r="I57" s="14">
        <v>0.24494897427831766</v>
      </c>
    </row>
    <row r="58" spans="1:9" x14ac:dyDescent="0.55000000000000004">
      <c r="A58">
        <v>5.7</v>
      </c>
      <c r="B58">
        <v>2.8</v>
      </c>
      <c r="C58">
        <v>4.5</v>
      </c>
      <c r="D58">
        <v>1.3</v>
      </c>
      <c r="E58" t="s">
        <v>59</v>
      </c>
      <c r="G58" s="12" t="str">
        <v>Versicolor</v>
      </c>
      <c r="H58" s="12" t="str">
        <v>Versicolor</v>
      </c>
      <c r="I58" s="14">
        <v>0.30000000000000027</v>
      </c>
    </row>
    <row r="59" spans="1:9" x14ac:dyDescent="0.55000000000000004">
      <c r="A59">
        <v>6.3</v>
      </c>
      <c r="B59">
        <v>3.3</v>
      </c>
      <c r="C59">
        <v>4.7</v>
      </c>
      <c r="D59">
        <v>1.6</v>
      </c>
      <c r="E59" t="s">
        <v>59</v>
      </c>
      <c r="G59" s="12" t="str">
        <v>Versicolor</v>
      </c>
      <c r="H59" s="12" t="str">
        <v>Versicolor</v>
      </c>
      <c r="I59" s="14">
        <v>0.2645751311064593</v>
      </c>
    </row>
    <row r="60" spans="1:9" x14ac:dyDescent="0.55000000000000004">
      <c r="A60">
        <v>4.9000000000000004</v>
      </c>
      <c r="B60">
        <v>2.4</v>
      </c>
      <c r="C60">
        <v>3.3</v>
      </c>
      <c r="D60">
        <v>1</v>
      </c>
      <c r="E60" t="s">
        <v>59</v>
      </c>
      <c r="G60" s="12" t="str">
        <v>Versicolor</v>
      </c>
      <c r="H60" s="12" t="str">
        <v>Versicolor</v>
      </c>
      <c r="I60" s="14">
        <v>0.14142135623730931</v>
      </c>
    </row>
    <row r="61" spans="1:9" x14ac:dyDescent="0.55000000000000004">
      <c r="A61">
        <v>6.6</v>
      </c>
      <c r="B61">
        <v>2.9</v>
      </c>
      <c r="C61">
        <v>4.5999999999999996</v>
      </c>
      <c r="D61">
        <v>1.3</v>
      </c>
      <c r="E61" t="s">
        <v>59</v>
      </c>
      <c r="G61" s="12" t="str">
        <v>Versicolor</v>
      </c>
      <c r="H61" s="12" t="str">
        <v>Versicolor</v>
      </c>
      <c r="I61" s="14">
        <v>0.24494897427831722</v>
      </c>
    </row>
    <row r="62" spans="1:9" x14ac:dyDescent="0.55000000000000004">
      <c r="A62">
        <v>5.2</v>
      </c>
      <c r="B62">
        <v>2.7</v>
      </c>
      <c r="C62">
        <v>3.9</v>
      </c>
      <c r="D62">
        <v>1.4</v>
      </c>
      <c r="E62" t="s">
        <v>59</v>
      </c>
      <c r="G62" s="12" t="str">
        <v>Versicolor</v>
      </c>
      <c r="H62" s="12" t="str">
        <v>Versicolor</v>
      </c>
      <c r="I62" s="14">
        <v>0.38729833462074165</v>
      </c>
    </row>
    <row r="63" spans="1:9" x14ac:dyDescent="0.55000000000000004">
      <c r="A63">
        <v>5</v>
      </c>
      <c r="B63">
        <v>2</v>
      </c>
      <c r="C63">
        <v>3.5</v>
      </c>
      <c r="D63">
        <v>1</v>
      </c>
      <c r="E63" t="s">
        <v>59</v>
      </c>
      <c r="G63" s="12" t="str">
        <v>Versicolor</v>
      </c>
      <c r="H63" s="12" t="str">
        <v>Versicolor</v>
      </c>
      <c r="I63" s="14">
        <v>0.3605551275463989</v>
      </c>
    </row>
    <row r="64" spans="1:9" x14ac:dyDescent="0.55000000000000004">
      <c r="A64">
        <v>5.9</v>
      </c>
      <c r="B64">
        <v>3</v>
      </c>
      <c r="C64">
        <v>4.2</v>
      </c>
      <c r="D64">
        <v>1.5</v>
      </c>
      <c r="E64" t="s">
        <v>59</v>
      </c>
      <c r="G64" s="12" t="str">
        <v>Versicolor</v>
      </c>
      <c r="H64" s="12" t="str">
        <v>Versicolor</v>
      </c>
      <c r="I64" s="14">
        <v>0.3000000000000001</v>
      </c>
    </row>
    <row r="65" spans="1:9" x14ac:dyDescent="0.55000000000000004">
      <c r="A65">
        <v>6</v>
      </c>
      <c r="B65">
        <v>2.2000000000000002</v>
      </c>
      <c r="C65">
        <v>4</v>
      </c>
      <c r="D65">
        <v>1</v>
      </c>
      <c r="E65" t="s">
        <v>59</v>
      </c>
      <c r="G65" s="12" t="str">
        <v>Versicolor</v>
      </c>
      <c r="H65" s="12" t="str">
        <v>Versicolor</v>
      </c>
      <c r="I65" s="14">
        <v>0.4898979485566356</v>
      </c>
    </row>
    <row r="66" spans="1:9" x14ac:dyDescent="0.55000000000000004">
      <c r="A66">
        <v>6.1</v>
      </c>
      <c r="B66">
        <v>2.9</v>
      </c>
      <c r="C66">
        <v>4.7</v>
      </c>
      <c r="D66">
        <v>1.4</v>
      </c>
      <c r="E66" t="s">
        <v>59</v>
      </c>
      <c r="G66" s="12" t="str">
        <v>Versicolor</v>
      </c>
      <c r="H66" s="12" t="str">
        <v>Versicolor</v>
      </c>
      <c r="I66" s="14">
        <v>0.14142135623730995</v>
      </c>
    </row>
    <row r="67" spans="1:9" x14ac:dyDescent="0.55000000000000004">
      <c r="A67">
        <v>5.6</v>
      </c>
      <c r="B67">
        <v>2.9</v>
      </c>
      <c r="C67">
        <v>3.6</v>
      </c>
      <c r="D67">
        <v>1.3</v>
      </c>
      <c r="E67" t="s">
        <v>59</v>
      </c>
      <c r="G67" s="12" t="str">
        <v>Versicolor</v>
      </c>
      <c r="H67" s="12" t="str">
        <v>Versicolor</v>
      </c>
      <c r="I67" s="14">
        <v>0.4242640687119284</v>
      </c>
    </row>
    <row r="68" spans="1:9" x14ac:dyDescent="0.55000000000000004">
      <c r="A68">
        <v>6.7</v>
      </c>
      <c r="B68">
        <v>3.1</v>
      </c>
      <c r="C68">
        <v>4.4000000000000004</v>
      </c>
      <c r="D68">
        <v>1.4</v>
      </c>
      <c r="E68" t="s">
        <v>59</v>
      </c>
      <c r="G68" s="12" t="str">
        <v>Versicolor</v>
      </c>
      <c r="H68" s="12" t="str">
        <v>Versicolor</v>
      </c>
      <c r="I68" s="14">
        <v>0.14142135623730995</v>
      </c>
    </row>
    <row r="69" spans="1:9" x14ac:dyDescent="0.55000000000000004">
      <c r="A69">
        <v>5.6</v>
      </c>
      <c r="B69">
        <v>3</v>
      </c>
      <c r="C69">
        <v>4.5</v>
      </c>
      <c r="D69">
        <v>1.5</v>
      </c>
      <c r="E69" t="s">
        <v>59</v>
      </c>
      <c r="G69" s="12" t="str">
        <v>Versicolor</v>
      </c>
      <c r="H69" s="12" t="str">
        <v>Versicolor</v>
      </c>
      <c r="I69" s="14">
        <v>0.19999999999999929</v>
      </c>
    </row>
    <row r="70" spans="1:9" x14ac:dyDescent="0.55000000000000004">
      <c r="A70">
        <v>5.8</v>
      </c>
      <c r="B70">
        <v>2.7</v>
      </c>
      <c r="C70">
        <v>4.0999999999999996</v>
      </c>
      <c r="D70">
        <v>1</v>
      </c>
      <c r="E70" t="s">
        <v>59</v>
      </c>
      <c r="G70" s="12" t="str">
        <v>Versicolor</v>
      </c>
      <c r="H70" s="12" t="str">
        <v>Versicolor</v>
      </c>
      <c r="I70" s="14">
        <v>0.24494897427831766</v>
      </c>
    </row>
    <row r="71" spans="1:9" x14ac:dyDescent="0.55000000000000004">
      <c r="A71">
        <v>6.2</v>
      </c>
      <c r="B71">
        <v>2.2000000000000002</v>
      </c>
      <c r="C71">
        <v>4.5</v>
      </c>
      <c r="D71">
        <v>1.5</v>
      </c>
      <c r="E71" t="s">
        <v>59</v>
      </c>
      <c r="G71" s="12" t="str">
        <v>Versicolor</v>
      </c>
      <c r="H71" s="12" t="str">
        <v>Versicolor</v>
      </c>
      <c r="I71" s="14">
        <v>0.26457513110645864</v>
      </c>
    </row>
    <row r="72" spans="1:9" x14ac:dyDescent="0.55000000000000004">
      <c r="A72">
        <v>5.6</v>
      </c>
      <c r="B72">
        <v>2.5</v>
      </c>
      <c r="C72">
        <v>3.9</v>
      </c>
      <c r="D72">
        <v>1.1000000000000001</v>
      </c>
      <c r="E72" t="s">
        <v>59</v>
      </c>
      <c r="G72" s="12" t="str">
        <v>Versicolor</v>
      </c>
      <c r="H72" s="12" t="str">
        <v>Versicolor</v>
      </c>
      <c r="I72" s="14">
        <v>0.17320508075688762</v>
      </c>
    </row>
    <row r="73" spans="1:9" x14ac:dyDescent="0.55000000000000004">
      <c r="A73">
        <v>5.9</v>
      </c>
      <c r="B73">
        <v>3.2</v>
      </c>
      <c r="C73">
        <v>4.8</v>
      </c>
      <c r="D73">
        <v>1.8</v>
      </c>
      <c r="E73" t="s">
        <v>59</v>
      </c>
      <c r="G73" s="12" t="str">
        <v>Versicolor</v>
      </c>
      <c r="H73" s="12" t="str">
        <v>Virginica</v>
      </c>
      <c r="I73" s="14">
        <v>0.22360679774997896</v>
      </c>
    </row>
    <row r="74" spans="1:9" x14ac:dyDescent="0.55000000000000004">
      <c r="A74">
        <v>6.1</v>
      </c>
      <c r="B74">
        <v>2.8</v>
      </c>
      <c r="C74">
        <v>4</v>
      </c>
      <c r="D74">
        <v>1.3</v>
      </c>
      <c r="E74" t="s">
        <v>59</v>
      </c>
      <c r="G74" s="12" t="str">
        <v>Versicolor</v>
      </c>
      <c r="H74" s="12" t="str">
        <v>Versicolor</v>
      </c>
      <c r="I74" s="14">
        <v>0.33166247903554003</v>
      </c>
    </row>
    <row r="75" spans="1:9" x14ac:dyDescent="0.55000000000000004">
      <c r="A75">
        <v>6.3</v>
      </c>
      <c r="B75">
        <v>2.5</v>
      </c>
      <c r="C75">
        <v>4.9000000000000004</v>
      </c>
      <c r="D75">
        <v>1.5</v>
      </c>
      <c r="E75" t="s">
        <v>59</v>
      </c>
      <c r="G75" s="12" t="str">
        <v>Versicolor</v>
      </c>
      <c r="H75" s="12" t="str">
        <v>Virginica</v>
      </c>
      <c r="I75" s="14">
        <v>0.3605551275463984</v>
      </c>
    </row>
    <row r="76" spans="1:9" x14ac:dyDescent="0.55000000000000004">
      <c r="A76">
        <v>6.1</v>
      </c>
      <c r="B76">
        <v>2.8</v>
      </c>
      <c r="C76">
        <v>4.7</v>
      </c>
      <c r="D76">
        <v>1.2</v>
      </c>
      <c r="E76" t="s">
        <v>59</v>
      </c>
      <c r="G76" s="12" t="str">
        <v>Versicolor</v>
      </c>
      <c r="H76" s="12" t="str">
        <v>Versicolor</v>
      </c>
      <c r="I76" s="14">
        <v>0.22360679774997896</v>
      </c>
    </row>
    <row r="77" spans="1:9" x14ac:dyDescent="0.55000000000000004">
      <c r="A77">
        <v>6.4</v>
      </c>
      <c r="B77">
        <v>2.9</v>
      </c>
      <c r="C77">
        <v>4.3</v>
      </c>
      <c r="D77">
        <v>1.3</v>
      </c>
      <c r="E77" t="s">
        <v>59</v>
      </c>
      <c r="G77" s="12" t="str">
        <v>Versicolor</v>
      </c>
      <c r="H77" s="12" t="str">
        <v>Versicolor</v>
      </c>
      <c r="I77" s="14">
        <v>0.20000000000000018</v>
      </c>
    </row>
    <row r="78" spans="1:9" x14ac:dyDescent="0.55000000000000004">
      <c r="A78">
        <v>6.6</v>
      </c>
      <c r="B78">
        <v>3</v>
      </c>
      <c r="C78">
        <v>4.4000000000000004</v>
      </c>
      <c r="D78">
        <v>1.4</v>
      </c>
      <c r="E78" t="s">
        <v>59</v>
      </c>
      <c r="G78" s="12" t="str">
        <v>Versicolor</v>
      </c>
      <c r="H78" s="12" t="str">
        <v>Versicolor</v>
      </c>
      <c r="I78" s="14">
        <v>0.14142135623730995</v>
      </c>
    </row>
    <row r="79" spans="1:9" x14ac:dyDescent="0.55000000000000004">
      <c r="A79">
        <v>6.8</v>
      </c>
      <c r="B79">
        <v>2.8</v>
      </c>
      <c r="C79">
        <v>4.8</v>
      </c>
      <c r="D79">
        <v>1.4</v>
      </c>
      <c r="E79" t="s">
        <v>59</v>
      </c>
      <c r="G79" s="12" t="str">
        <v>Versicolor</v>
      </c>
      <c r="H79" s="12" t="str">
        <v>Versicolor</v>
      </c>
      <c r="I79" s="14">
        <v>0.31622776601683816</v>
      </c>
    </row>
    <row r="80" spans="1:9" x14ac:dyDescent="0.55000000000000004">
      <c r="A80">
        <v>6.7</v>
      </c>
      <c r="B80">
        <v>3</v>
      </c>
      <c r="C80">
        <v>5</v>
      </c>
      <c r="D80">
        <v>1.7</v>
      </c>
      <c r="E80" t="s">
        <v>59</v>
      </c>
      <c r="G80" s="12" t="str">
        <v>Versicolor</v>
      </c>
      <c r="H80" s="12" t="str">
        <v>Versicolor</v>
      </c>
      <c r="I80" s="14">
        <v>0.31622776601683794</v>
      </c>
    </row>
    <row r="81" spans="1:9" x14ac:dyDescent="0.55000000000000004">
      <c r="A81">
        <v>6</v>
      </c>
      <c r="B81">
        <v>2.9</v>
      </c>
      <c r="C81">
        <v>4.5</v>
      </c>
      <c r="D81">
        <v>1.5</v>
      </c>
      <c r="E81" t="s">
        <v>59</v>
      </c>
      <c r="G81" s="12" t="str">
        <v>Versicolor</v>
      </c>
      <c r="H81" s="12" t="str">
        <v>Versicolor</v>
      </c>
      <c r="I81" s="14">
        <v>0.19999999999999973</v>
      </c>
    </row>
    <row r="82" spans="1:9" x14ac:dyDescent="0.55000000000000004">
      <c r="A82">
        <v>5.7</v>
      </c>
      <c r="B82">
        <v>2.6</v>
      </c>
      <c r="C82">
        <v>3.5</v>
      </c>
      <c r="D82">
        <v>1</v>
      </c>
      <c r="E82" t="s">
        <v>59</v>
      </c>
      <c r="G82" s="12" t="str">
        <v>Versicolor</v>
      </c>
      <c r="H82" s="12" t="str">
        <v>Versicolor</v>
      </c>
      <c r="I82" s="14">
        <v>0.34641016151377579</v>
      </c>
    </row>
    <row r="83" spans="1:9" x14ac:dyDescent="0.55000000000000004">
      <c r="A83">
        <v>5.5</v>
      </c>
      <c r="B83">
        <v>2.4</v>
      </c>
      <c r="C83">
        <v>3.8</v>
      </c>
      <c r="D83">
        <v>1.1000000000000001</v>
      </c>
      <c r="E83" t="s">
        <v>59</v>
      </c>
      <c r="G83" s="12" t="str">
        <v>Versicolor</v>
      </c>
      <c r="H83" s="12" t="str">
        <v>Versicolor</v>
      </c>
      <c r="I83" s="14">
        <v>0.14142135623730931</v>
      </c>
    </row>
    <row r="84" spans="1:9" x14ac:dyDescent="0.55000000000000004">
      <c r="A84">
        <v>5.5</v>
      </c>
      <c r="B84">
        <v>2.4</v>
      </c>
      <c r="C84">
        <v>3.7</v>
      </c>
      <c r="D84">
        <v>1</v>
      </c>
      <c r="E84" t="s">
        <v>59</v>
      </c>
      <c r="G84" s="12" t="str">
        <v>Versicolor</v>
      </c>
      <c r="H84" s="12" t="str">
        <v>Versicolor</v>
      </c>
      <c r="I84" s="14">
        <v>0.14142135623730931</v>
      </c>
    </row>
    <row r="85" spans="1:9" x14ac:dyDescent="0.55000000000000004">
      <c r="A85">
        <v>5.8</v>
      </c>
      <c r="B85">
        <v>2.7</v>
      </c>
      <c r="C85">
        <v>3.9</v>
      </c>
      <c r="D85">
        <v>1.2</v>
      </c>
      <c r="E85" t="s">
        <v>59</v>
      </c>
      <c r="G85" s="12" t="str">
        <v>Versicolor</v>
      </c>
      <c r="H85" s="12" t="str">
        <v>Versicolor</v>
      </c>
      <c r="I85" s="14">
        <v>0.14142135623730964</v>
      </c>
    </row>
    <row r="86" spans="1:9" x14ac:dyDescent="0.55000000000000004">
      <c r="A86">
        <v>6</v>
      </c>
      <c r="B86">
        <v>2.7</v>
      </c>
      <c r="C86">
        <v>5.0999999999999996</v>
      </c>
      <c r="D86">
        <v>1.6</v>
      </c>
      <c r="E86" t="s">
        <v>59</v>
      </c>
      <c r="G86" s="12" t="str">
        <v>Versicolor</v>
      </c>
      <c r="H86" s="12" t="str">
        <v>Virginica</v>
      </c>
      <c r="I86" s="14">
        <v>0.33166247903553975</v>
      </c>
    </row>
    <row r="87" spans="1:9" x14ac:dyDescent="0.55000000000000004">
      <c r="A87">
        <v>5.4</v>
      </c>
      <c r="B87">
        <v>3</v>
      </c>
      <c r="C87">
        <v>4.5</v>
      </c>
      <c r="D87">
        <v>1.5</v>
      </c>
      <c r="E87" t="s">
        <v>59</v>
      </c>
      <c r="G87" s="12" t="str">
        <v>Versicolor</v>
      </c>
      <c r="H87" s="12" t="str">
        <v>Versicolor</v>
      </c>
      <c r="I87" s="14">
        <v>0.19999999999999929</v>
      </c>
    </row>
    <row r="88" spans="1:9" x14ac:dyDescent="0.55000000000000004">
      <c r="A88">
        <v>6</v>
      </c>
      <c r="B88">
        <v>3.4</v>
      </c>
      <c r="C88">
        <v>4.5</v>
      </c>
      <c r="D88">
        <v>1.6</v>
      </c>
      <c r="E88" t="s">
        <v>59</v>
      </c>
      <c r="G88" s="12" t="str">
        <v>Versicolor</v>
      </c>
      <c r="H88" s="12" t="str">
        <v>Versicolor</v>
      </c>
      <c r="I88" s="14">
        <v>0.37416573867739411</v>
      </c>
    </row>
    <row r="89" spans="1:9" x14ac:dyDescent="0.55000000000000004">
      <c r="A89">
        <v>6.7</v>
      </c>
      <c r="B89">
        <v>3.1</v>
      </c>
      <c r="C89">
        <v>4.7</v>
      </c>
      <c r="D89">
        <v>1.5</v>
      </c>
      <c r="E89" t="s">
        <v>59</v>
      </c>
      <c r="G89" s="12" t="str">
        <v>Versicolor</v>
      </c>
      <c r="H89" s="12" t="str">
        <v>Versicolor</v>
      </c>
      <c r="I89" s="14">
        <v>0.28284271247461928</v>
      </c>
    </row>
    <row r="90" spans="1:9" x14ac:dyDescent="0.55000000000000004">
      <c r="A90">
        <v>6.3</v>
      </c>
      <c r="B90">
        <v>2.2999999999999998</v>
      </c>
      <c r="C90">
        <v>4.4000000000000004</v>
      </c>
      <c r="D90">
        <v>1.3</v>
      </c>
      <c r="E90" t="s">
        <v>59</v>
      </c>
      <c r="G90" s="12" t="str">
        <v>Versicolor</v>
      </c>
      <c r="H90" s="12" t="str">
        <v>Versicolor</v>
      </c>
      <c r="I90" s="14">
        <v>0.26457513110645864</v>
      </c>
    </row>
    <row r="91" spans="1:9" x14ac:dyDescent="0.55000000000000004">
      <c r="A91">
        <v>5.6</v>
      </c>
      <c r="B91">
        <v>3</v>
      </c>
      <c r="C91">
        <v>4.0999999999999996</v>
      </c>
      <c r="D91">
        <v>1.3</v>
      </c>
      <c r="E91" t="s">
        <v>59</v>
      </c>
      <c r="G91" s="12" t="str">
        <v>Versicolor</v>
      </c>
      <c r="H91" s="12" t="str">
        <v>Versicolor</v>
      </c>
      <c r="I91" s="14">
        <v>0.1732050807568884</v>
      </c>
    </row>
    <row r="92" spans="1:9" x14ac:dyDescent="0.55000000000000004">
      <c r="A92">
        <v>5.5</v>
      </c>
      <c r="B92">
        <v>2.5</v>
      </c>
      <c r="C92">
        <v>4</v>
      </c>
      <c r="D92">
        <v>1.3</v>
      </c>
      <c r="E92" t="s">
        <v>59</v>
      </c>
      <c r="G92" s="12" t="str">
        <v>Versicolor</v>
      </c>
      <c r="H92" s="12" t="str">
        <v>Versicolor</v>
      </c>
      <c r="I92" s="14">
        <v>0.20000000000000018</v>
      </c>
    </row>
    <row r="93" spans="1:9" x14ac:dyDescent="0.55000000000000004">
      <c r="A93">
        <v>5.5</v>
      </c>
      <c r="B93">
        <v>2.6</v>
      </c>
      <c r="C93">
        <v>4.4000000000000004</v>
      </c>
      <c r="D93">
        <v>1.2</v>
      </c>
      <c r="E93" t="s">
        <v>59</v>
      </c>
      <c r="G93" s="12" t="str">
        <v>Versicolor</v>
      </c>
      <c r="H93" s="12" t="str">
        <v>Versicolor</v>
      </c>
      <c r="I93" s="14">
        <v>0.26457513110645914</v>
      </c>
    </row>
    <row r="94" spans="1:9" x14ac:dyDescent="0.55000000000000004">
      <c r="A94">
        <v>6.1</v>
      </c>
      <c r="B94">
        <v>3</v>
      </c>
      <c r="C94">
        <v>4.5999999999999996</v>
      </c>
      <c r="D94">
        <v>1.4</v>
      </c>
      <c r="E94" t="s">
        <v>59</v>
      </c>
      <c r="G94" s="12" t="str">
        <v>Versicolor</v>
      </c>
      <c r="H94" s="12" t="str">
        <v>Versicolor</v>
      </c>
      <c r="I94" s="14">
        <v>0.14142135623730995</v>
      </c>
    </row>
    <row r="95" spans="1:9" x14ac:dyDescent="0.55000000000000004">
      <c r="A95">
        <v>5.8</v>
      </c>
      <c r="B95">
        <v>2.6</v>
      </c>
      <c r="C95">
        <v>4</v>
      </c>
      <c r="D95">
        <v>1.2</v>
      </c>
      <c r="E95" t="s">
        <v>59</v>
      </c>
      <c r="G95" s="12" t="str">
        <v>Versicolor</v>
      </c>
      <c r="H95" s="12" t="str">
        <v>Versicolor</v>
      </c>
      <c r="I95" s="14">
        <v>0.14142135623730964</v>
      </c>
    </row>
    <row r="96" spans="1:9" x14ac:dyDescent="0.55000000000000004">
      <c r="A96">
        <v>5</v>
      </c>
      <c r="B96">
        <v>2.2999999999999998</v>
      </c>
      <c r="C96">
        <v>3.3</v>
      </c>
      <c r="D96">
        <v>1</v>
      </c>
      <c r="E96" t="s">
        <v>59</v>
      </c>
      <c r="G96" s="12" t="str">
        <v>Versicolor</v>
      </c>
      <c r="H96" s="12" t="str">
        <v>Versicolor</v>
      </c>
      <c r="I96" s="14">
        <v>0.14142135623730931</v>
      </c>
    </row>
    <row r="97" spans="1:9" x14ac:dyDescent="0.55000000000000004">
      <c r="A97">
        <v>5.6</v>
      </c>
      <c r="B97">
        <v>2.7</v>
      </c>
      <c r="C97">
        <v>4.2</v>
      </c>
      <c r="D97">
        <v>1.3</v>
      </c>
      <c r="E97" t="s">
        <v>59</v>
      </c>
      <c r="G97" s="12" t="str">
        <v>Versicolor</v>
      </c>
      <c r="H97" s="12" t="str">
        <v>Versicolor</v>
      </c>
      <c r="I97" s="14">
        <v>0.17320508075688815</v>
      </c>
    </row>
    <row r="98" spans="1:9" x14ac:dyDescent="0.55000000000000004">
      <c r="A98">
        <v>5.7</v>
      </c>
      <c r="B98">
        <v>3</v>
      </c>
      <c r="C98">
        <v>4.2</v>
      </c>
      <c r="D98">
        <v>1.2</v>
      </c>
      <c r="E98" t="s">
        <v>59</v>
      </c>
      <c r="G98" s="12" t="str">
        <v>Versicolor</v>
      </c>
      <c r="H98" s="12" t="str">
        <v>Versicolor</v>
      </c>
      <c r="I98" s="14">
        <v>0.14142135623730964</v>
      </c>
    </row>
    <row r="99" spans="1:9" x14ac:dyDescent="0.55000000000000004">
      <c r="A99">
        <v>5.7</v>
      </c>
      <c r="B99">
        <v>2.9</v>
      </c>
      <c r="C99">
        <v>4.2</v>
      </c>
      <c r="D99">
        <v>1.3</v>
      </c>
      <c r="E99" t="s">
        <v>59</v>
      </c>
      <c r="G99" s="12" t="str">
        <v>Versicolor</v>
      </c>
      <c r="H99" s="12" t="str">
        <v>Versicolor</v>
      </c>
      <c r="I99" s="14">
        <v>0.14142135623730964</v>
      </c>
    </row>
    <row r="100" spans="1:9" x14ac:dyDescent="0.55000000000000004">
      <c r="A100">
        <v>6.2</v>
      </c>
      <c r="B100">
        <v>2.9</v>
      </c>
      <c r="C100">
        <v>4.3</v>
      </c>
      <c r="D100">
        <v>1.3</v>
      </c>
      <c r="E100" t="s">
        <v>59</v>
      </c>
      <c r="G100" s="12" t="str">
        <v>Versicolor</v>
      </c>
      <c r="H100" s="12" t="str">
        <v>Versicolor</v>
      </c>
      <c r="I100" s="14">
        <v>0.20000000000000018</v>
      </c>
    </row>
    <row r="101" spans="1:9" x14ac:dyDescent="0.55000000000000004">
      <c r="A101">
        <v>5.0999999999999996</v>
      </c>
      <c r="B101">
        <v>2.5</v>
      </c>
      <c r="C101">
        <v>3</v>
      </c>
      <c r="D101">
        <v>1.1000000000000001</v>
      </c>
      <c r="E101" t="s">
        <v>59</v>
      </c>
      <c r="G101" s="12" t="str">
        <v>Versicolor</v>
      </c>
      <c r="H101" s="12" t="str">
        <v>Versicolor</v>
      </c>
      <c r="I101" s="14">
        <v>0.3872983346207412</v>
      </c>
    </row>
    <row r="102" spans="1:9" x14ac:dyDescent="0.55000000000000004">
      <c r="A102">
        <v>5.7</v>
      </c>
      <c r="B102">
        <v>2.8</v>
      </c>
      <c r="C102">
        <v>4.0999999999999996</v>
      </c>
      <c r="D102">
        <v>1.3</v>
      </c>
      <c r="E102" t="s">
        <v>59</v>
      </c>
      <c r="G102" s="12" t="str">
        <v>Versicolor</v>
      </c>
      <c r="H102" s="12" t="str">
        <v>Versicolor</v>
      </c>
      <c r="I102" s="14">
        <v>0.14142135623730995</v>
      </c>
    </row>
    <row r="103" spans="1:9" x14ac:dyDescent="0.55000000000000004">
      <c r="A103">
        <v>6.3</v>
      </c>
      <c r="B103">
        <v>3.3</v>
      </c>
      <c r="C103">
        <v>6</v>
      </c>
      <c r="D103">
        <v>2.5</v>
      </c>
      <c r="E103" t="s">
        <v>60</v>
      </c>
      <c r="G103" s="12" t="str">
        <v>Virginica</v>
      </c>
      <c r="H103" s="12" t="str">
        <v>Virginica</v>
      </c>
      <c r="I103" s="14">
        <v>0.42426406871192884</v>
      </c>
    </row>
    <row r="104" spans="1:9" x14ac:dyDescent="0.55000000000000004">
      <c r="A104">
        <v>5.8</v>
      </c>
      <c r="B104">
        <v>2.7</v>
      </c>
      <c r="C104">
        <v>5.0999999999999996</v>
      </c>
      <c r="D104">
        <v>1.9</v>
      </c>
      <c r="E104" t="s">
        <v>60</v>
      </c>
      <c r="G104" s="12" t="str">
        <v>Virginica</v>
      </c>
      <c r="H104" s="12" t="str">
        <v>Virginica</v>
      </c>
      <c r="I104" s="14">
        <v>0</v>
      </c>
    </row>
    <row r="105" spans="1:9" x14ac:dyDescent="0.55000000000000004">
      <c r="A105">
        <v>7.1</v>
      </c>
      <c r="B105">
        <v>3</v>
      </c>
      <c r="C105">
        <v>5.9</v>
      </c>
      <c r="D105">
        <v>2.1</v>
      </c>
      <c r="E105" t="s">
        <v>60</v>
      </c>
      <c r="G105" s="12" t="str">
        <v>Virginica</v>
      </c>
      <c r="H105" s="12" t="str">
        <v>Virginica</v>
      </c>
      <c r="I105" s="14">
        <v>0.38729833462074187</v>
      </c>
    </row>
    <row r="106" spans="1:9" x14ac:dyDescent="0.55000000000000004">
      <c r="A106">
        <v>6.3</v>
      </c>
      <c r="B106">
        <v>2.9</v>
      </c>
      <c r="C106">
        <v>5.6</v>
      </c>
      <c r="D106">
        <v>1.8</v>
      </c>
      <c r="E106" t="s">
        <v>60</v>
      </c>
      <c r="G106" s="12" t="str">
        <v>Virginica</v>
      </c>
      <c r="H106" s="12" t="str">
        <v>Virginica</v>
      </c>
      <c r="I106" s="14">
        <v>0.24494897427831783</v>
      </c>
    </row>
    <row r="107" spans="1:9" x14ac:dyDescent="0.55000000000000004">
      <c r="A107">
        <v>6.5</v>
      </c>
      <c r="B107">
        <v>3</v>
      </c>
      <c r="C107">
        <v>5.8</v>
      </c>
      <c r="D107">
        <v>2.2000000000000002</v>
      </c>
      <c r="E107" t="s">
        <v>60</v>
      </c>
      <c r="G107" s="12" t="str">
        <v>Virginica</v>
      </c>
      <c r="H107" s="12" t="str">
        <v>Virginica</v>
      </c>
      <c r="I107" s="14">
        <v>0.30000000000000016</v>
      </c>
    </row>
    <row r="108" spans="1:9" x14ac:dyDescent="0.55000000000000004">
      <c r="A108">
        <v>7.6</v>
      </c>
      <c r="B108">
        <v>3</v>
      </c>
      <c r="C108">
        <v>6.6</v>
      </c>
      <c r="D108">
        <v>2.1</v>
      </c>
      <c r="E108" t="s">
        <v>60</v>
      </c>
      <c r="G108" s="12" t="str">
        <v>Virginica</v>
      </c>
      <c r="H108" s="12" t="str">
        <v>Virginica</v>
      </c>
      <c r="I108" s="14">
        <v>0.26457513110645964</v>
      </c>
    </row>
    <row r="109" spans="1:9" x14ac:dyDescent="0.55000000000000004">
      <c r="A109">
        <v>4.9000000000000004</v>
      </c>
      <c r="B109">
        <v>2.5</v>
      </c>
      <c r="C109">
        <v>4.5</v>
      </c>
      <c r="D109">
        <v>1.7</v>
      </c>
      <c r="E109" t="s">
        <v>60</v>
      </c>
      <c r="G109" s="12" t="str">
        <v>Virginica</v>
      </c>
      <c r="H109" s="12" t="str">
        <v>Versicolor</v>
      </c>
      <c r="I109" s="14">
        <v>0.73484692283495345</v>
      </c>
    </row>
    <row r="110" spans="1:9" x14ac:dyDescent="0.55000000000000004">
      <c r="A110">
        <v>7.3</v>
      </c>
      <c r="B110">
        <v>2.9</v>
      </c>
      <c r="C110">
        <v>6.3</v>
      </c>
      <c r="D110">
        <v>1.8</v>
      </c>
      <c r="E110" t="s">
        <v>60</v>
      </c>
      <c r="G110" s="12" t="str">
        <v>Virginica</v>
      </c>
      <c r="H110" s="12" t="str">
        <v>Virginica</v>
      </c>
      <c r="I110" s="14">
        <v>0.26457513110645936</v>
      </c>
    </row>
    <row r="111" spans="1:9" x14ac:dyDescent="0.55000000000000004">
      <c r="A111">
        <v>6.7</v>
      </c>
      <c r="B111">
        <v>2.5</v>
      </c>
      <c r="C111">
        <v>5.8</v>
      </c>
      <c r="D111">
        <v>1.8</v>
      </c>
      <c r="E111" t="s">
        <v>60</v>
      </c>
      <c r="G111" s="12" t="str">
        <v>Virginica</v>
      </c>
      <c r="H111" s="12" t="str">
        <v>Virginica</v>
      </c>
      <c r="I111" s="14">
        <v>0.55677643628300211</v>
      </c>
    </row>
    <row r="112" spans="1:9" x14ac:dyDescent="0.55000000000000004">
      <c r="A112">
        <v>7.2</v>
      </c>
      <c r="B112">
        <v>3.6</v>
      </c>
      <c r="C112">
        <v>6.1</v>
      </c>
      <c r="D112">
        <v>2.5</v>
      </c>
      <c r="E112" t="s">
        <v>60</v>
      </c>
      <c r="G112" s="12" t="str">
        <v>Virginica</v>
      </c>
      <c r="H112" s="12" t="str">
        <v>Virginica</v>
      </c>
      <c r="I112" s="14">
        <v>0.63245553203367588</v>
      </c>
    </row>
    <row r="113" spans="1:9" x14ac:dyDescent="0.55000000000000004">
      <c r="A113">
        <v>6.5</v>
      </c>
      <c r="B113">
        <v>3.2</v>
      </c>
      <c r="C113">
        <v>5.0999999999999996</v>
      </c>
      <c r="D113">
        <v>2</v>
      </c>
      <c r="E113" t="s">
        <v>60</v>
      </c>
      <c r="G113" s="12" t="str">
        <v>Virginica</v>
      </c>
      <c r="H113" s="12" t="str">
        <v>Virginica</v>
      </c>
      <c r="I113" s="14">
        <v>0.22360679774997935</v>
      </c>
    </row>
    <row r="114" spans="1:9" x14ac:dyDescent="0.55000000000000004">
      <c r="A114">
        <v>6.4</v>
      </c>
      <c r="B114">
        <v>2.7</v>
      </c>
      <c r="C114">
        <v>5.3</v>
      </c>
      <c r="D114">
        <v>1.9</v>
      </c>
      <c r="E114" t="s">
        <v>60</v>
      </c>
      <c r="G114" s="12" t="str">
        <v>Virginica</v>
      </c>
      <c r="H114" s="12" t="str">
        <v>Virginica</v>
      </c>
      <c r="I114" s="14">
        <v>0.34641016151377513</v>
      </c>
    </row>
    <row r="115" spans="1:9" x14ac:dyDescent="0.55000000000000004">
      <c r="A115">
        <v>6.8</v>
      </c>
      <c r="B115">
        <v>3</v>
      </c>
      <c r="C115">
        <v>5.5</v>
      </c>
      <c r="D115">
        <v>2.1</v>
      </c>
      <c r="E115" t="s">
        <v>60</v>
      </c>
      <c r="G115" s="12" t="str">
        <v>Virginica</v>
      </c>
      <c r="H115" s="12" t="str">
        <v>Virginica</v>
      </c>
      <c r="I115" s="14">
        <v>0.17320508075688787</v>
      </c>
    </row>
    <row r="116" spans="1:9" x14ac:dyDescent="0.55000000000000004">
      <c r="A116">
        <v>5.7</v>
      </c>
      <c r="B116">
        <v>2.5</v>
      </c>
      <c r="C116">
        <v>5</v>
      </c>
      <c r="D116">
        <v>2</v>
      </c>
      <c r="E116" t="s">
        <v>60</v>
      </c>
      <c r="G116" s="12" t="str">
        <v>Virginica</v>
      </c>
      <c r="H116" s="12" t="str">
        <v>Virginica</v>
      </c>
      <c r="I116" s="14">
        <v>0.26457513110645897</v>
      </c>
    </row>
    <row r="117" spans="1:9" x14ac:dyDescent="0.55000000000000004">
      <c r="A117">
        <v>5.8</v>
      </c>
      <c r="B117">
        <v>2.8</v>
      </c>
      <c r="C117">
        <v>5.0999999999999996</v>
      </c>
      <c r="D117">
        <v>2.4</v>
      </c>
      <c r="E117" t="s">
        <v>60</v>
      </c>
      <c r="G117" s="12" t="str">
        <v>Virginica</v>
      </c>
      <c r="H117" s="12" t="str">
        <v>Virginica</v>
      </c>
      <c r="I117" s="14">
        <v>0.48989794855663532</v>
      </c>
    </row>
    <row r="118" spans="1:9" x14ac:dyDescent="0.55000000000000004">
      <c r="A118">
        <v>6.4</v>
      </c>
      <c r="B118">
        <v>3.2</v>
      </c>
      <c r="C118">
        <v>5.3</v>
      </c>
      <c r="D118">
        <v>2.2999999999999998</v>
      </c>
      <c r="E118" t="s">
        <v>60</v>
      </c>
      <c r="G118" s="12" t="str">
        <v>Virginica</v>
      </c>
      <c r="H118" s="12" t="str">
        <v>Virginica</v>
      </c>
      <c r="I118" s="14">
        <v>0.3000000000000001</v>
      </c>
    </row>
    <row r="119" spans="1:9" x14ac:dyDescent="0.55000000000000004">
      <c r="A119">
        <v>6.5</v>
      </c>
      <c r="B119">
        <v>3</v>
      </c>
      <c r="C119">
        <v>5.5</v>
      </c>
      <c r="D119">
        <v>1.8</v>
      </c>
      <c r="E119" t="s">
        <v>60</v>
      </c>
      <c r="G119" s="12" t="str">
        <v>Virginica</v>
      </c>
      <c r="H119" s="12" t="str">
        <v>Virginica</v>
      </c>
      <c r="I119" s="14">
        <v>0.14142135623730931</v>
      </c>
    </row>
    <row r="120" spans="1:9" x14ac:dyDescent="0.55000000000000004">
      <c r="A120">
        <v>7.7</v>
      </c>
      <c r="B120">
        <v>3.8</v>
      </c>
      <c r="C120">
        <v>6.7</v>
      </c>
      <c r="D120">
        <v>2.2000000000000002</v>
      </c>
      <c r="E120" t="s">
        <v>60</v>
      </c>
      <c r="G120" s="12" t="str">
        <v>Virginica</v>
      </c>
      <c r="H120" s="12" t="str">
        <v>Virginica</v>
      </c>
      <c r="I120" s="14">
        <v>0.41231056256176613</v>
      </c>
    </row>
    <row r="121" spans="1:9" x14ac:dyDescent="0.55000000000000004">
      <c r="A121">
        <v>7.7</v>
      </c>
      <c r="B121">
        <v>2.6</v>
      </c>
      <c r="C121">
        <v>6.9</v>
      </c>
      <c r="D121">
        <v>2.2999999999999998</v>
      </c>
      <c r="E121" t="s">
        <v>60</v>
      </c>
      <c r="G121" s="12" t="str">
        <v>Virginica</v>
      </c>
      <c r="H121" s="12" t="str">
        <v>Virginica</v>
      </c>
      <c r="I121" s="14">
        <v>0.4123105625617659</v>
      </c>
    </row>
    <row r="122" spans="1:9" x14ac:dyDescent="0.55000000000000004">
      <c r="A122">
        <v>6</v>
      </c>
      <c r="B122">
        <v>2.2000000000000002</v>
      </c>
      <c r="C122">
        <v>5</v>
      </c>
      <c r="D122">
        <v>1.5</v>
      </c>
      <c r="E122" t="s">
        <v>60</v>
      </c>
      <c r="G122" s="12" t="str">
        <v>Virginica</v>
      </c>
      <c r="H122" s="12" t="str">
        <v>Versicolor</v>
      </c>
      <c r="I122" s="14">
        <v>0.43588989435406705</v>
      </c>
    </row>
    <row r="123" spans="1:9" x14ac:dyDescent="0.55000000000000004">
      <c r="A123">
        <v>6.9</v>
      </c>
      <c r="B123">
        <v>3.2</v>
      </c>
      <c r="C123">
        <v>5.7</v>
      </c>
      <c r="D123">
        <v>2.2999999999999998</v>
      </c>
      <c r="E123" t="s">
        <v>60</v>
      </c>
      <c r="G123" s="12" t="str">
        <v>Virginica</v>
      </c>
      <c r="H123" s="12" t="str">
        <v>Virginica</v>
      </c>
      <c r="I123" s="14">
        <v>0.22360679774997935</v>
      </c>
    </row>
    <row r="124" spans="1:9" x14ac:dyDescent="0.55000000000000004">
      <c r="A124">
        <v>5.6</v>
      </c>
      <c r="B124">
        <v>2.8</v>
      </c>
      <c r="C124">
        <v>4.9000000000000004</v>
      </c>
      <c r="D124">
        <v>2</v>
      </c>
      <c r="E124" t="s">
        <v>60</v>
      </c>
      <c r="G124" s="12" t="str">
        <v>Virginica</v>
      </c>
      <c r="H124" s="12" t="str">
        <v>Virginica</v>
      </c>
      <c r="I124" s="14">
        <v>0.31622776601683755</v>
      </c>
    </row>
    <row r="125" spans="1:9" x14ac:dyDescent="0.55000000000000004">
      <c r="A125">
        <v>7.7</v>
      </c>
      <c r="B125">
        <v>2.8</v>
      </c>
      <c r="C125">
        <v>6.7</v>
      </c>
      <c r="D125">
        <v>2</v>
      </c>
      <c r="E125" t="s">
        <v>60</v>
      </c>
      <c r="G125" s="12" t="str">
        <v>Virginica</v>
      </c>
      <c r="H125" s="12" t="str">
        <v>Virginica</v>
      </c>
      <c r="I125" s="14">
        <v>0.26457513110645964</v>
      </c>
    </row>
    <row r="126" spans="1:9" x14ac:dyDescent="0.55000000000000004">
      <c r="A126">
        <v>6.3</v>
      </c>
      <c r="B126">
        <v>2.7</v>
      </c>
      <c r="C126">
        <v>4.9000000000000004</v>
      </c>
      <c r="D126">
        <v>1.8</v>
      </c>
      <c r="E126" t="s">
        <v>60</v>
      </c>
      <c r="G126" s="12" t="str">
        <v>Virginica</v>
      </c>
      <c r="H126" s="12" t="str">
        <v>Virginica</v>
      </c>
      <c r="I126" s="14">
        <v>0.17320508075688762</v>
      </c>
    </row>
    <row r="127" spans="1:9" x14ac:dyDescent="0.55000000000000004">
      <c r="A127">
        <v>6.7</v>
      </c>
      <c r="B127">
        <v>3.3</v>
      </c>
      <c r="C127">
        <v>5.7</v>
      </c>
      <c r="D127">
        <v>2.1</v>
      </c>
      <c r="E127" t="s">
        <v>60</v>
      </c>
      <c r="G127" s="12" t="str">
        <v>Virginica</v>
      </c>
      <c r="H127" s="12" t="str">
        <v>Virginica</v>
      </c>
      <c r="I127" s="14">
        <v>0.29999999999999982</v>
      </c>
    </row>
    <row r="128" spans="1:9" x14ac:dyDescent="0.55000000000000004">
      <c r="A128">
        <v>7.2</v>
      </c>
      <c r="B128">
        <v>3.2</v>
      </c>
      <c r="C128">
        <v>6</v>
      </c>
      <c r="D128">
        <v>1.8</v>
      </c>
      <c r="E128" t="s">
        <v>60</v>
      </c>
      <c r="G128" s="12" t="str">
        <v>Virginica</v>
      </c>
      <c r="H128" s="12" t="str">
        <v>Virginica</v>
      </c>
      <c r="I128" s="14">
        <v>0.34641016151377563</v>
      </c>
    </row>
    <row r="129" spans="1:9" x14ac:dyDescent="0.55000000000000004">
      <c r="A129">
        <v>6.2</v>
      </c>
      <c r="B129">
        <v>2.8</v>
      </c>
      <c r="C129">
        <v>4.8</v>
      </c>
      <c r="D129">
        <v>1.8</v>
      </c>
      <c r="E129" t="s">
        <v>60</v>
      </c>
      <c r="G129" s="12" t="str">
        <v>Virginica</v>
      </c>
      <c r="H129" s="12" t="str">
        <v>Virginica</v>
      </c>
      <c r="I129" s="14">
        <v>0.17320508075688762</v>
      </c>
    </row>
    <row r="130" spans="1:9" x14ac:dyDescent="0.55000000000000004">
      <c r="A130">
        <v>6.1</v>
      </c>
      <c r="B130">
        <v>3</v>
      </c>
      <c r="C130">
        <v>4.9000000000000004</v>
      </c>
      <c r="D130">
        <v>1.8</v>
      </c>
      <c r="E130" t="s">
        <v>60</v>
      </c>
      <c r="G130" s="12" t="str">
        <v>Virginica</v>
      </c>
      <c r="H130" s="12" t="str">
        <v>Virginica</v>
      </c>
      <c r="I130" s="14">
        <v>0.14142135623730964</v>
      </c>
    </row>
    <row r="131" spans="1:9" x14ac:dyDescent="0.55000000000000004">
      <c r="A131">
        <v>6.4</v>
      </c>
      <c r="B131">
        <v>2.8</v>
      </c>
      <c r="C131">
        <v>5.6</v>
      </c>
      <c r="D131">
        <v>2.1</v>
      </c>
      <c r="E131" t="s">
        <v>60</v>
      </c>
      <c r="G131" s="12" t="str">
        <v>Virginica</v>
      </c>
      <c r="H131" s="12" t="str">
        <v>Virginica</v>
      </c>
      <c r="I131" s="14">
        <v>0.10000000000000009</v>
      </c>
    </row>
    <row r="132" spans="1:9" x14ac:dyDescent="0.55000000000000004">
      <c r="A132">
        <v>7.2</v>
      </c>
      <c r="B132">
        <v>3</v>
      </c>
      <c r="C132">
        <v>5.8</v>
      </c>
      <c r="D132">
        <v>1.6</v>
      </c>
      <c r="E132" t="s">
        <v>60</v>
      </c>
      <c r="G132" s="12" t="str">
        <v>Virginica</v>
      </c>
      <c r="H132" s="12" t="str">
        <v>Virginica</v>
      </c>
      <c r="I132" s="14">
        <v>0.34641016151377563</v>
      </c>
    </row>
    <row r="133" spans="1:9" x14ac:dyDescent="0.55000000000000004">
      <c r="A133">
        <v>7.4</v>
      </c>
      <c r="B133">
        <v>2.8</v>
      </c>
      <c r="C133">
        <v>6.1</v>
      </c>
      <c r="D133">
        <v>1.9</v>
      </c>
      <c r="E133" t="s">
        <v>60</v>
      </c>
      <c r="G133" s="12" t="str">
        <v>Virginica</v>
      </c>
      <c r="H133" s="12" t="str">
        <v>Virginica</v>
      </c>
      <c r="I133" s="14">
        <v>0.26457513110645936</v>
      </c>
    </row>
    <row r="134" spans="1:9" x14ac:dyDescent="0.55000000000000004">
      <c r="A134">
        <v>7.9</v>
      </c>
      <c r="B134">
        <v>3.8</v>
      </c>
      <c r="C134">
        <v>6.4</v>
      </c>
      <c r="D134">
        <v>2</v>
      </c>
      <c r="E134" t="s">
        <v>60</v>
      </c>
      <c r="G134" s="12" t="str">
        <v>Virginica</v>
      </c>
      <c r="H134" s="12" t="str">
        <v>Virginica</v>
      </c>
      <c r="I134" s="14">
        <v>0.41231056256176613</v>
      </c>
    </row>
    <row r="135" spans="1:9" x14ac:dyDescent="0.55000000000000004">
      <c r="A135">
        <v>6.4</v>
      </c>
      <c r="B135">
        <v>2.8</v>
      </c>
      <c r="C135">
        <v>5.6</v>
      </c>
      <c r="D135">
        <v>2.2000000000000002</v>
      </c>
      <c r="E135" t="s">
        <v>60</v>
      </c>
      <c r="G135" s="12" t="str">
        <v>Virginica</v>
      </c>
      <c r="H135" s="12" t="str">
        <v>Virginica</v>
      </c>
      <c r="I135" s="14">
        <v>0.10000000000000009</v>
      </c>
    </row>
    <row r="136" spans="1:9" x14ac:dyDescent="0.55000000000000004">
      <c r="A136">
        <v>6.3</v>
      </c>
      <c r="B136">
        <v>2.8</v>
      </c>
      <c r="C136">
        <v>5.0999999999999996</v>
      </c>
      <c r="D136">
        <v>1.5</v>
      </c>
      <c r="E136" t="s">
        <v>60</v>
      </c>
      <c r="G136" s="12" t="str">
        <v>Virginica</v>
      </c>
      <c r="H136" s="12" t="str">
        <v>Versicolor</v>
      </c>
      <c r="I136" s="14">
        <v>0.33166247903553975</v>
      </c>
    </row>
    <row r="137" spans="1:9" x14ac:dyDescent="0.55000000000000004">
      <c r="A137">
        <v>6.1</v>
      </c>
      <c r="B137">
        <v>2.6</v>
      </c>
      <c r="C137">
        <v>5.6</v>
      </c>
      <c r="D137">
        <v>1.4</v>
      </c>
      <c r="E137" t="s">
        <v>60</v>
      </c>
      <c r="G137" s="12" t="str">
        <v>Virginica</v>
      </c>
      <c r="H137" s="12" t="str">
        <v>Virginica</v>
      </c>
      <c r="I137" s="14">
        <v>0.53851648071345048</v>
      </c>
    </row>
    <row r="138" spans="1:9" x14ac:dyDescent="0.55000000000000004">
      <c r="A138">
        <v>7.7</v>
      </c>
      <c r="B138">
        <v>3</v>
      </c>
      <c r="C138">
        <v>6.1</v>
      </c>
      <c r="D138">
        <v>2.2999999999999998</v>
      </c>
      <c r="E138" t="s">
        <v>60</v>
      </c>
      <c r="G138" s="12" t="str">
        <v>Virginica</v>
      </c>
      <c r="H138" s="12" t="str">
        <v>Virginica</v>
      </c>
      <c r="I138" s="14">
        <v>0.53851648071345037</v>
      </c>
    </row>
    <row r="139" spans="1:9" x14ac:dyDescent="0.55000000000000004">
      <c r="A139">
        <v>6.3</v>
      </c>
      <c r="B139">
        <v>3.4</v>
      </c>
      <c r="C139">
        <v>5.6</v>
      </c>
      <c r="D139">
        <v>2.4</v>
      </c>
      <c r="E139" t="s">
        <v>60</v>
      </c>
      <c r="G139" s="12" t="str">
        <v>Virginica</v>
      </c>
      <c r="H139" s="12" t="str">
        <v>Virginica</v>
      </c>
      <c r="I139" s="14">
        <v>0.24494897427831711</v>
      </c>
    </row>
    <row r="140" spans="1:9" x14ac:dyDescent="0.55000000000000004">
      <c r="A140">
        <v>6.4</v>
      </c>
      <c r="B140">
        <v>3.1</v>
      </c>
      <c r="C140">
        <v>5.5</v>
      </c>
      <c r="D140">
        <v>1.8</v>
      </c>
      <c r="E140" t="s">
        <v>60</v>
      </c>
      <c r="G140" s="12" t="str">
        <v>Virginica</v>
      </c>
      <c r="H140" s="12" t="str">
        <v>Virginica</v>
      </c>
      <c r="I140" s="14">
        <v>0.14142135623730931</v>
      </c>
    </row>
    <row r="141" spans="1:9" x14ac:dyDescent="0.55000000000000004">
      <c r="A141">
        <v>6</v>
      </c>
      <c r="B141">
        <v>3</v>
      </c>
      <c r="C141">
        <v>4.8</v>
      </c>
      <c r="D141">
        <v>1.8</v>
      </c>
      <c r="E141" t="s">
        <v>60</v>
      </c>
      <c r="G141" s="12" t="str">
        <v>Virginica</v>
      </c>
      <c r="H141" s="12" t="str">
        <v>Virginica</v>
      </c>
      <c r="I141" s="14">
        <v>0.14142135623730964</v>
      </c>
    </row>
    <row r="142" spans="1:9" x14ac:dyDescent="0.55000000000000004">
      <c r="A142">
        <v>6.9</v>
      </c>
      <c r="B142">
        <v>3.1</v>
      </c>
      <c r="C142">
        <v>5.4</v>
      </c>
      <c r="D142">
        <v>2.1</v>
      </c>
      <c r="E142" t="s">
        <v>60</v>
      </c>
      <c r="G142" s="12" t="str">
        <v>Virginica</v>
      </c>
      <c r="H142" s="12" t="str">
        <v>Virginica</v>
      </c>
      <c r="I142" s="14">
        <v>0.17320508075688787</v>
      </c>
    </row>
    <row r="143" spans="1:9" x14ac:dyDescent="0.55000000000000004">
      <c r="A143">
        <v>6.7</v>
      </c>
      <c r="B143">
        <v>3.1</v>
      </c>
      <c r="C143">
        <v>5.6</v>
      </c>
      <c r="D143">
        <v>2.4</v>
      </c>
      <c r="E143" t="s">
        <v>60</v>
      </c>
      <c r="G143" s="12" t="str">
        <v>Virginica</v>
      </c>
      <c r="H143" s="12" t="str">
        <v>Virginica</v>
      </c>
      <c r="I143" s="14">
        <v>0.24494897427831785</v>
      </c>
    </row>
    <row r="144" spans="1:9" x14ac:dyDescent="0.55000000000000004">
      <c r="A144">
        <v>6.9</v>
      </c>
      <c r="B144">
        <v>3.1</v>
      </c>
      <c r="C144">
        <v>5.0999999999999996</v>
      </c>
      <c r="D144">
        <v>2.2999999999999998</v>
      </c>
      <c r="E144" t="s">
        <v>60</v>
      </c>
      <c r="G144" s="12" t="str">
        <v>Virginica</v>
      </c>
      <c r="H144" s="12" t="str">
        <v>Virginica</v>
      </c>
      <c r="I144" s="14">
        <v>0.24494897427831822</v>
      </c>
    </row>
    <row r="145" spans="1:9" x14ac:dyDescent="0.55000000000000004">
      <c r="A145">
        <v>5.8</v>
      </c>
      <c r="B145">
        <v>2.7</v>
      </c>
      <c r="C145">
        <v>5.0999999999999996</v>
      </c>
      <c r="D145">
        <v>1.9</v>
      </c>
      <c r="E145" t="s">
        <v>60</v>
      </c>
      <c r="G145" s="12" t="str">
        <v>Virginica</v>
      </c>
      <c r="H145" s="12" t="str">
        <v>Virginica</v>
      </c>
      <c r="I145" s="14">
        <v>0</v>
      </c>
    </row>
    <row r="146" spans="1:9" x14ac:dyDescent="0.55000000000000004">
      <c r="A146">
        <v>6.8</v>
      </c>
      <c r="B146">
        <v>3.2</v>
      </c>
      <c r="C146">
        <v>5.9</v>
      </c>
      <c r="D146">
        <v>2.2999999999999998</v>
      </c>
      <c r="E146" t="s">
        <v>60</v>
      </c>
      <c r="G146" s="12" t="str">
        <v>Virginica</v>
      </c>
      <c r="H146" s="12" t="str">
        <v>Virginica</v>
      </c>
      <c r="I146" s="14">
        <v>0.22360679774997935</v>
      </c>
    </row>
    <row r="147" spans="1:9" x14ac:dyDescent="0.55000000000000004">
      <c r="A147">
        <v>6.7</v>
      </c>
      <c r="B147">
        <v>3.3</v>
      </c>
      <c r="C147">
        <v>5.7</v>
      </c>
      <c r="D147">
        <v>2.5</v>
      </c>
      <c r="E147" t="s">
        <v>60</v>
      </c>
      <c r="G147" s="12" t="str">
        <v>Virginica</v>
      </c>
      <c r="H147" s="12" t="str">
        <v>Virginica</v>
      </c>
      <c r="I147" s="14">
        <v>0.24494897427831785</v>
      </c>
    </row>
    <row r="148" spans="1:9" x14ac:dyDescent="0.55000000000000004">
      <c r="A148">
        <v>6.7</v>
      </c>
      <c r="B148">
        <v>3</v>
      </c>
      <c r="C148">
        <v>5.2</v>
      </c>
      <c r="D148">
        <v>2.2999999999999998</v>
      </c>
      <c r="E148" t="s">
        <v>60</v>
      </c>
      <c r="G148" s="12" t="str">
        <v>Virginica</v>
      </c>
      <c r="H148" s="12" t="str">
        <v>Virginica</v>
      </c>
      <c r="I148" s="14">
        <v>0.24494897427831822</v>
      </c>
    </row>
    <row r="149" spans="1:9" x14ac:dyDescent="0.55000000000000004">
      <c r="A149">
        <v>6.3</v>
      </c>
      <c r="B149">
        <v>2.5</v>
      </c>
      <c r="C149">
        <v>5</v>
      </c>
      <c r="D149">
        <v>1.9</v>
      </c>
      <c r="E149" t="s">
        <v>60</v>
      </c>
      <c r="G149" s="12" t="str">
        <v>Virginica</v>
      </c>
      <c r="H149" s="12" t="str">
        <v>Virginica</v>
      </c>
      <c r="I149" s="14">
        <v>0.24494897427831777</v>
      </c>
    </row>
    <row r="150" spans="1:9" x14ac:dyDescent="0.55000000000000004">
      <c r="A150">
        <v>6.5</v>
      </c>
      <c r="B150">
        <v>3</v>
      </c>
      <c r="C150">
        <v>5.2</v>
      </c>
      <c r="D150">
        <v>2</v>
      </c>
      <c r="E150" t="s">
        <v>60</v>
      </c>
      <c r="G150" s="12" t="str">
        <v>Virginica</v>
      </c>
      <c r="H150" s="12" t="str">
        <v>Virginica</v>
      </c>
      <c r="I150" s="14">
        <v>0.22360679774997935</v>
      </c>
    </row>
    <row r="151" spans="1:9" x14ac:dyDescent="0.55000000000000004">
      <c r="A151">
        <v>6.2</v>
      </c>
      <c r="B151">
        <v>3.4</v>
      </c>
      <c r="C151">
        <v>5.4</v>
      </c>
      <c r="D151">
        <v>2.2999999999999998</v>
      </c>
      <c r="E151" t="s">
        <v>60</v>
      </c>
      <c r="G151" s="12" t="str">
        <v>Virginica</v>
      </c>
      <c r="H151" s="12" t="str">
        <v>Virginica</v>
      </c>
      <c r="I151" s="14">
        <v>0.24494897427831711</v>
      </c>
    </row>
    <row r="152" spans="1:9" x14ac:dyDescent="0.55000000000000004">
      <c r="A152">
        <v>5.9</v>
      </c>
      <c r="B152">
        <v>3</v>
      </c>
      <c r="C152">
        <v>5.0999999999999996</v>
      </c>
      <c r="D152">
        <v>1.8</v>
      </c>
      <c r="E152" t="s">
        <v>60</v>
      </c>
      <c r="G152" s="12" t="str">
        <v>Virginica</v>
      </c>
      <c r="H152" s="12" t="str">
        <v>Virginica</v>
      </c>
      <c r="I152" s="14">
        <v>0.28284271247461801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C4EC3-95F2-44D9-A293-B3D806B50A23}">
  <dimension ref="A1:M152"/>
  <sheetViews>
    <sheetView topLeftCell="C1" workbookViewId="0">
      <selection activeCell="I2" sqref="I2"/>
    </sheetView>
  </sheetViews>
  <sheetFormatPr baseColWidth="10" defaultRowHeight="14.4" x14ac:dyDescent="0.55000000000000004"/>
  <cols>
    <col min="1" max="5" width="12.83984375" customWidth="1"/>
    <col min="6" max="6" width="30.89453125" bestFit="1" customWidth="1"/>
    <col min="7" max="7" width="30.89453125" customWidth="1"/>
    <col min="9" max="9" width="36.1015625" customWidth="1"/>
    <col min="10" max="10" width="23.26171875" bestFit="1" customWidth="1"/>
    <col min="12" max="12" width="16.15625" customWidth="1"/>
  </cols>
  <sheetData>
    <row r="1" spans="1:13" ht="17.399999999999999" x14ac:dyDescent="0.55000000000000004">
      <c r="F1" t="str" cm="1">
        <f t="array" ref="F1:F31">_xll.J.Clasificacion($A$3:$D$152,$E$3:$E$152,3,$J$3)</f>
        <v>Accuracy: 96.0%</v>
      </c>
      <c r="H1" s="23"/>
      <c r="I1" s="4"/>
      <c r="J1" s="22" t="s">
        <v>17</v>
      </c>
    </row>
    <row r="2" spans="1:13" ht="17.399999999999999" x14ac:dyDescent="0.55000000000000004">
      <c r="A2" s="22" t="s">
        <v>53</v>
      </c>
      <c r="B2" s="22" t="s">
        <v>54</v>
      </c>
      <c r="C2" s="22" t="s">
        <v>55</v>
      </c>
      <c r="D2" s="22" t="s">
        <v>56</v>
      </c>
      <c r="E2" s="22" t="s">
        <v>57</v>
      </c>
      <c r="F2" s="22" t="str">
        <v>Obs 1: real=Setosa pred=Setosa</v>
      </c>
      <c r="G2" s="22" t="s">
        <v>63</v>
      </c>
      <c r="I2" s="20" t="str">
        <f>I12</f>
        <v>Lista de procedimientos</v>
      </c>
      <c r="J2" s="19">
        <v>0</v>
      </c>
      <c r="L2" s="22" t="s">
        <v>66</v>
      </c>
      <c r="M2">
        <v>3</v>
      </c>
    </row>
    <row r="3" spans="1:13" ht="17.399999999999999" x14ac:dyDescent="0.55000000000000004">
      <c r="A3">
        <v>5.0999999999999996</v>
      </c>
      <c r="B3">
        <v>3.5</v>
      </c>
      <c r="C3">
        <v>1.4</v>
      </c>
      <c r="D3">
        <v>0.2</v>
      </c>
      <c r="E3" t="s">
        <v>58</v>
      </c>
      <c r="F3" t="str">
        <v>Obs 2: real=Setosa pred=Setosa</v>
      </c>
      <c r="G3" cm="1">
        <f t="array" ref="G3:G152">_xll.J.Clustering($A$3:$D$152,$M$2,$M$3,$J$3)</f>
        <v>2</v>
      </c>
      <c r="I3" s="20" t="str">
        <f>G2</f>
        <v>Resultado K-Means</v>
      </c>
      <c r="J3" s="19">
        <v>1</v>
      </c>
      <c r="L3" s="22" t="s">
        <v>65</v>
      </c>
      <c r="M3">
        <v>12345</v>
      </c>
    </row>
    <row r="4" spans="1:13" ht="17.399999999999999" x14ac:dyDescent="0.55000000000000004">
      <c r="A4">
        <v>4.9000000000000004</v>
      </c>
      <c r="B4">
        <v>3</v>
      </c>
      <c r="C4">
        <v>1.4</v>
      </c>
      <c r="D4">
        <v>0.2</v>
      </c>
      <c r="E4" t="s">
        <v>58</v>
      </c>
      <c r="F4" t="str">
        <v>Obs 3: real=Setosa pred=Setosa</v>
      </c>
      <c r="G4">
        <v>2</v>
      </c>
      <c r="I4" s="20" t="str">
        <f>I20</f>
        <v>Centros</v>
      </c>
      <c r="J4" s="19">
        <v>2</v>
      </c>
      <c r="L4" s="22" t="s">
        <v>69</v>
      </c>
      <c r="M4">
        <v>6</v>
      </c>
    </row>
    <row r="5" spans="1:13" ht="17.399999999999999" x14ac:dyDescent="0.55000000000000004">
      <c r="A5">
        <v>4.7</v>
      </c>
      <c r="B5">
        <v>3.2</v>
      </c>
      <c r="C5">
        <v>1.3</v>
      </c>
      <c r="D5">
        <v>0.2</v>
      </c>
      <c r="E5" t="s">
        <v>58</v>
      </c>
      <c r="F5" t="str">
        <v>Obs 4: real=Setosa pred=Setosa</v>
      </c>
      <c r="G5">
        <v>2</v>
      </c>
      <c r="I5" s="20">
        <f>I50</f>
        <v>0</v>
      </c>
      <c r="J5" s="19">
        <v>3</v>
      </c>
      <c r="L5" s="22"/>
    </row>
    <row r="6" spans="1:13" ht="17.399999999999999" x14ac:dyDescent="0.55000000000000004">
      <c r="A6">
        <v>4.5999999999999996</v>
      </c>
      <c r="B6">
        <v>3.1</v>
      </c>
      <c r="C6">
        <v>1.5</v>
      </c>
      <c r="D6">
        <v>0.2</v>
      </c>
      <c r="E6" t="s">
        <v>58</v>
      </c>
      <c r="F6" t="str">
        <v>Obs 5: real=Setosa pred=Setosa</v>
      </c>
      <c r="G6">
        <v>2</v>
      </c>
      <c r="I6" s="20" t="str">
        <f>I25</f>
        <v>WCSS (Within-Cluster Sum of Square</v>
      </c>
      <c r="J6" s="19">
        <v>4</v>
      </c>
      <c r="L6" s="22"/>
    </row>
    <row r="7" spans="1:13" x14ac:dyDescent="0.55000000000000004">
      <c r="A7">
        <v>5</v>
      </c>
      <c r="B7">
        <v>3.6</v>
      </c>
      <c r="C7">
        <v>1.4</v>
      </c>
      <c r="D7">
        <v>0.2</v>
      </c>
      <c r="E7" t="s">
        <v>58</v>
      </c>
      <c r="F7" t="str">
        <v>Obs 6: real=Setosa pred=Setosa</v>
      </c>
      <c r="G7">
        <v>2</v>
      </c>
      <c r="I7" s="20" t="str">
        <f>I28</f>
        <v xml:space="preserve">Metodo del codo (K=1..6) </v>
      </c>
      <c r="J7" s="19">
        <v>5</v>
      </c>
    </row>
    <row r="8" spans="1:13" x14ac:dyDescent="0.55000000000000004">
      <c r="A8">
        <v>5.4</v>
      </c>
      <c r="B8">
        <v>3.9</v>
      </c>
      <c r="C8">
        <v>1.7</v>
      </c>
      <c r="D8">
        <v>0.4</v>
      </c>
      <c r="E8" t="s">
        <v>58</v>
      </c>
      <c r="F8" t="str">
        <v>Obs 7: real=Setosa pred=Setosa</v>
      </c>
      <c r="G8">
        <v>2</v>
      </c>
      <c r="I8" s="26" t="str">
        <f>I36</f>
        <v>Descriptivas por cluster (media y std)</v>
      </c>
      <c r="J8" s="27">
        <v>6</v>
      </c>
    </row>
    <row r="9" spans="1:13" x14ac:dyDescent="0.55000000000000004">
      <c r="A9">
        <v>4.5999999999999996</v>
      </c>
      <c r="B9">
        <v>3.4</v>
      </c>
      <c r="C9">
        <v>1.4</v>
      </c>
      <c r="D9">
        <v>0.3</v>
      </c>
      <c r="E9" t="s">
        <v>58</v>
      </c>
      <c r="F9" t="str">
        <v>Obs 8: real=Setosa pred=Setosa</v>
      </c>
      <c r="G9">
        <v>2</v>
      </c>
      <c r="I9" s="28"/>
      <c r="J9" s="29"/>
    </row>
    <row r="10" spans="1:13" x14ac:dyDescent="0.55000000000000004">
      <c r="A10">
        <v>5</v>
      </c>
      <c r="B10">
        <v>3.4</v>
      </c>
      <c r="C10">
        <v>1.5</v>
      </c>
      <c r="D10">
        <v>0.2</v>
      </c>
      <c r="E10" t="s">
        <v>58</v>
      </c>
      <c r="F10" t="str">
        <v>Obs 9: real=Setosa pred=Setosa</v>
      </c>
      <c r="G10">
        <v>2</v>
      </c>
      <c r="I10" s="28"/>
      <c r="J10" s="29"/>
    </row>
    <row r="11" spans="1:13" x14ac:dyDescent="0.55000000000000004">
      <c r="A11">
        <v>4.4000000000000004</v>
      </c>
      <c r="B11">
        <v>2.9</v>
      </c>
      <c r="C11">
        <v>1.4</v>
      </c>
      <c r="D11">
        <v>0.2</v>
      </c>
      <c r="E11" t="s">
        <v>58</v>
      </c>
      <c r="F11" t="str">
        <v>Obs 10: real=Setosa pred=Setosa</v>
      </c>
      <c r="G11">
        <v>2</v>
      </c>
      <c r="L11" s="2"/>
    </row>
    <row r="12" spans="1:13" ht="17.399999999999999" x14ac:dyDescent="0.55000000000000004">
      <c r="A12">
        <v>4.9000000000000004</v>
      </c>
      <c r="B12">
        <v>3.1</v>
      </c>
      <c r="C12">
        <v>1.5</v>
      </c>
      <c r="D12">
        <v>0.1</v>
      </c>
      <c r="E12" t="s">
        <v>58</v>
      </c>
      <c r="F12" t="str">
        <v>Obs 11: real=Setosa pred=Setosa</v>
      </c>
      <c r="G12">
        <v>2</v>
      </c>
      <c r="I12" s="4" t="s">
        <v>12</v>
      </c>
    </row>
    <row r="13" spans="1:13" x14ac:dyDescent="0.55000000000000004">
      <c r="A13">
        <v>5.4</v>
      </c>
      <c r="B13">
        <v>3.7</v>
      </c>
      <c r="C13">
        <v>1.5</v>
      </c>
      <c r="D13">
        <v>0.2</v>
      </c>
      <c r="E13" t="s">
        <v>58</v>
      </c>
      <c r="F13" t="str">
        <v>Obs 12: real=Setosa pred=Setosa</v>
      </c>
      <c r="G13">
        <v>2</v>
      </c>
      <c r="J13" s="13" t="str" cm="1">
        <f t="array" ref="J13:J18">_xll.J.Clustering($A$3:$D$152,$M$2,$M$3,$J$2)</f>
        <v>[01] K-Medias completo</v>
      </c>
    </row>
    <row r="14" spans="1:13" x14ac:dyDescent="0.55000000000000004">
      <c r="A14">
        <v>4.8</v>
      </c>
      <c r="B14">
        <v>3.4</v>
      </c>
      <c r="C14">
        <v>1.6</v>
      </c>
      <c r="D14">
        <v>0.2</v>
      </c>
      <c r="E14" t="s">
        <v>58</v>
      </c>
      <c r="F14" t="str">
        <v>Obs 13: real=Setosa pred=Setosa</v>
      </c>
      <c r="G14">
        <v>2</v>
      </c>
      <c r="J14" s="13" t="str">
        <v>[02] Centros</v>
      </c>
    </row>
    <row r="15" spans="1:13" x14ac:dyDescent="0.55000000000000004">
      <c r="A15">
        <v>4.8</v>
      </c>
      <c r="B15">
        <v>3</v>
      </c>
      <c r="C15">
        <v>1.4</v>
      </c>
      <c r="D15">
        <v>0.1</v>
      </c>
      <c r="E15" t="s">
        <v>58</v>
      </c>
      <c r="F15" t="str">
        <v>Obs 14: real=Setosa pred=Setosa</v>
      </c>
      <c r="G15">
        <v>2</v>
      </c>
      <c r="J15" s="13" t="str">
        <v>[03] Asignacion</v>
      </c>
    </row>
    <row r="16" spans="1:13" x14ac:dyDescent="0.55000000000000004">
      <c r="A16">
        <v>4.3</v>
      </c>
      <c r="B16">
        <v>3</v>
      </c>
      <c r="C16">
        <v>1.1000000000000001</v>
      </c>
      <c r="D16">
        <v>0.1</v>
      </c>
      <c r="E16" t="s">
        <v>58</v>
      </c>
      <c r="F16" t="str">
        <v>Obs 15: real=Setosa pred=Setosa</v>
      </c>
      <c r="G16">
        <v>2</v>
      </c>
      <c r="J16" s="13" t="str">
        <v>[04] WCSS</v>
      </c>
    </row>
    <row r="17" spans="1:13" x14ac:dyDescent="0.55000000000000004">
      <c r="A17">
        <v>5.8</v>
      </c>
      <c r="B17">
        <v>4</v>
      </c>
      <c r="C17">
        <v>1.2</v>
      </c>
      <c r="D17">
        <v>0.2</v>
      </c>
      <c r="E17" t="s">
        <v>58</v>
      </c>
      <c r="F17" t="str">
        <v>Obs 16: real=Setosa pred=Setosa</v>
      </c>
      <c r="G17">
        <v>2</v>
      </c>
      <c r="J17" s="13" t="str">
        <v>[05] Metodo del Codo</v>
      </c>
    </row>
    <row r="18" spans="1:13" x14ac:dyDescent="0.55000000000000004">
      <c r="A18">
        <v>5.7</v>
      </c>
      <c r="B18">
        <v>4.4000000000000004</v>
      </c>
      <c r="C18">
        <v>1.5</v>
      </c>
      <c r="D18">
        <v>0.4</v>
      </c>
      <c r="E18" t="s">
        <v>58</v>
      </c>
      <c r="F18" t="str">
        <v>Obs 17: real=Setosa pred=Setosa</v>
      </c>
      <c r="G18">
        <v>2</v>
      </c>
      <c r="J18" s="13" t="str">
        <v>[06] Descriptivas por cluster</v>
      </c>
    </row>
    <row r="19" spans="1:13" x14ac:dyDescent="0.55000000000000004">
      <c r="A19">
        <v>5.4</v>
      </c>
      <c r="B19">
        <v>3.9</v>
      </c>
      <c r="C19">
        <v>1.3</v>
      </c>
      <c r="D19">
        <v>0.4</v>
      </c>
      <c r="E19" t="s">
        <v>58</v>
      </c>
      <c r="F19" t="str">
        <v>Obs 18: real=Setosa pred=Setosa</v>
      </c>
      <c r="G19">
        <v>2</v>
      </c>
    </row>
    <row r="20" spans="1:13" ht="17.399999999999999" x14ac:dyDescent="0.55000000000000004">
      <c r="A20">
        <v>5.0999999999999996</v>
      </c>
      <c r="B20">
        <v>3.5</v>
      </c>
      <c r="C20">
        <v>1.4</v>
      </c>
      <c r="D20">
        <v>0.3</v>
      </c>
      <c r="E20" t="s">
        <v>58</v>
      </c>
      <c r="F20" t="str">
        <v>Obs 19: real=Setosa pred=Setosa</v>
      </c>
      <c r="G20">
        <v>2</v>
      </c>
      <c r="I20" s="4" t="s">
        <v>64</v>
      </c>
    </row>
    <row r="21" spans="1:13" x14ac:dyDescent="0.55000000000000004">
      <c r="A21">
        <v>5.7</v>
      </c>
      <c r="B21">
        <v>3.8</v>
      </c>
      <c r="C21">
        <v>1.7</v>
      </c>
      <c r="D21">
        <v>0.3</v>
      </c>
      <c r="E21" t="s">
        <v>58</v>
      </c>
      <c r="F21" t="str">
        <v>Obs 20: real=Setosa pred=Setosa</v>
      </c>
      <c r="G21">
        <v>2</v>
      </c>
      <c r="J21" s="24" cm="1">
        <f t="array" ref="J21:M23">_xll.J.Clustering($A$3:$D$152,$M$2,$M$3,$J$4)</f>
        <v>5.8836065573770497</v>
      </c>
      <c r="K21" s="24">
        <v>2.7409836065573772</v>
      </c>
      <c r="L21" s="24">
        <v>4.3885245901639349</v>
      </c>
      <c r="M21" s="24">
        <v>1.4344262295081969</v>
      </c>
    </row>
    <row r="22" spans="1:13" x14ac:dyDescent="0.55000000000000004">
      <c r="A22">
        <v>5.0999999999999996</v>
      </c>
      <c r="B22">
        <v>3.8</v>
      </c>
      <c r="C22">
        <v>1.5</v>
      </c>
      <c r="D22">
        <v>0.3</v>
      </c>
      <c r="E22" t="s">
        <v>58</v>
      </c>
      <c r="F22" t="str">
        <v>Obs 21: real=Setosa pred=Setosa</v>
      </c>
      <c r="G22">
        <v>2</v>
      </c>
      <c r="J22" s="24">
        <v>5.0060000000000002</v>
      </c>
      <c r="K22" s="24">
        <v>3.4279999999999999</v>
      </c>
      <c r="L22" s="24">
        <v>1.462</v>
      </c>
      <c r="M22" s="24">
        <v>0.24600000000000002</v>
      </c>
    </row>
    <row r="23" spans="1:13" x14ac:dyDescent="0.55000000000000004">
      <c r="A23">
        <v>5.4</v>
      </c>
      <c r="B23">
        <v>3.4</v>
      </c>
      <c r="C23">
        <v>1.7</v>
      </c>
      <c r="D23">
        <v>0.2</v>
      </c>
      <c r="E23" t="s">
        <v>58</v>
      </c>
      <c r="F23" t="str">
        <v>Obs 22: real=Setosa pred=Setosa</v>
      </c>
      <c r="G23">
        <v>2</v>
      </c>
      <c r="J23" s="24">
        <v>6.8538461538461526</v>
      </c>
      <c r="K23" s="24">
        <v>3.0769230769230771</v>
      </c>
      <c r="L23" s="24">
        <v>5.7153846153846146</v>
      </c>
      <c r="M23" s="24">
        <v>2.0538461538461537</v>
      </c>
    </row>
    <row r="24" spans="1:13" x14ac:dyDescent="0.55000000000000004">
      <c r="A24">
        <v>5.0999999999999996</v>
      </c>
      <c r="B24">
        <v>3.7</v>
      </c>
      <c r="C24">
        <v>1.5</v>
      </c>
      <c r="D24">
        <v>0.4</v>
      </c>
      <c r="E24" t="s">
        <v>58</v>
      </c>
      <c r="F24" t="str">
        <v>Obs 23: real=Setosa pred=Setosa</v>
      </c>
      <c r="G24">
        <v>2</v>
      </c>
    </row>
    <row r="25" spans="1:13" ht="17.399999999999999" x14ac:dyDescent="0.55000000000000004">
      <c r="A25">
        <v>4.5999999999999996</v>
      </c>
      <c r="B25">
        <v>3.6</v>
      </c>
      <c r="C25">
        <v>1</v>
      </c>
      <c r="D25">
        <v>0.2</v>
      </c>
      <c r="E25" t="s">
        <v>58</v>
      </c>
      <c r="F25" t="str">
        <v>Obs 24: real=Setosa pred=Setosa</v>
      </c>
      <c r="G25">
        <v>2</v>
      </c>
      <c r="I25" s="4" t="s">
        <v>67</v>
      </c>
    </row>
    <row r="26" spans="1:13" x14ac:dyDescent="0.55000000000000004">
      <c r="A26">
        <v>5.0999999999999996</v>
      </c>
      <c r="B26">
        <v>3.3</v>
      </c>
      <c r="C26">
        <v>1.7</v>
      </c>
      <c r="D26">
        <v>0.5</v>
      </c>
      <c r="E26" t="s">
        <v>58</v>
      </c>
      <c r="F26" t="str">
        <v>Obs 25: real=Setosa pred=Setosa</v>
      </c>
      <c r="G26">
        <v>2</v>
      </c>
      <c r="J26" s="10" cm="1">
        <f t="array" ref="J26">_xll.J.Clustering($A$3:$D$152,$M$2,$M$3,$J$6)</f>
        <v>78.855665825977255</v>
      </c>
    </row>
    <row r="27" spans="1:13" x14ac:dyDescent="0.55000000000000004">
      <c r="A27">
        <v>4.8</v>
      </c>
      <c r="B27">
        <v>3.4</v>
      </c>
      <c r="C27">
        <v>1.9</v>
      </c>
      <c r="D27">
        <v>0.2</v>
      </c>
      <c r="E27" t="s">
        <v>58</v>
      </c>
      <c r="F27" t="str">
        <v>Obs 26: real=Setosa pred=Setosa</v>
      </c>
      <c r="G27">
        <v>2</v>
      </c>
      <c r="J27" s="25"/>
    </row>
    <row r="28" spans="1:13" ht="17.399999999999999" x14ac:dyDescent="0.55000000000000004">
      <c r="A28">
        <v>5</v>
      </c>
      <c r="B28">
        <v>3</v>
      </c>
      <c r="C28">
        <v>1.6</v>
      </c>
      <c r="D28">
        <v>0.2</v>
      </c>
      <c r="E28" t="s">
        <v>58</v>
      </c>
      <c r="F28" t="str">
        <v>Obs 27: real=Setosa pred=Setosa</v>
      </c>
      <c r="G28">
        <v>2</v>
      </c>
      <c r="I28" s="4" t="s">
        <v>68</v>
      </c>
    </row>
    <row r="29" spans="1:13" x14ac:dyDescent="0.55000000000000004">
      <c r="A29">
        <v>5</v>
      </c>
      <c r="B29">
        <v>3.4</v>
      </c>
      <c r="C29">
        <v>1.6</v>
      </c>
      <c r="D29">
        <v>0.4</v>
      </c>
      <c r="E29" t="s">
        <v>58</v>
      </c>
      <c r="F29" t="str">
        <v>Obs 28: real=Setosa pred=Setosa</v>
      </c>
      <c r="G29">
        <v>2</v>
      </c>
      <c r="J29" s="10" cm="1">
        <f t="array" ref="J29:J34">_xll.J.Clustering($A$3:$D$152,$M$4,$M$3,$J$7)</f>
        <v>681.37059999999963</v>
      </c>
    </row>
    <row r="30" spans="1:13" x14ac:dyDescent="0.55000000000000004">
      <c r="A30">
        <v>5.2</v>
      </c>
      <c r="B30">
        <v>3.5</v>
      </c>
      <c r="C30">
        <v>1.5</v>
      </c>
      <c r="D30">
        <v>0.2</v>
      </c>
      <c r="E30" t="s">
        <v>58</v>
      </c>
      <c r="F30" t="str">
        <v>Obs 29: real=Setosa pred=Setosa</v>
      </c>
      <c r="G30">
        <v>2</v>
      </c>
      <c r="J30" s="10">
        <v>152.34795176035803</v>
      </c>
    </row>
    <row r="31" spans="1:13" x14ac:dyDescent="0.55000000000000004">
      <c r="A31">
        <v>5.2</v>
      </c>
      <c r="B31">
        <v>3.4</v>
      </c>
      <c r="C31">
        <v>1.4</v>
      </c>
      <c r="D31">
        <v>0.2</v>
      </c>
      <c r="E31" t="s">
        <v>58</v>
      </c>
      <c r="F31" t="str">
        <v>Obs 30: real=Setosa pred=Setosa</v>
      </c>
      <c r="G31">
        <v>2</v>
      </c>
      <c r="J31" s="10">
        <v>78.855665825977255</v>
      </c>
    </row>
    <row r="32" spans="1:13" x14ac:dyDescent="0.55000000000000004">
      <c r="A32">
        <v>4.7</v>
      </c>
      <c r="B32">
        <v>3.2</v>
      </c>
      <c r="C32">
        <v>1.6</v>
      </c>
      <c r="D32">
        <v>0.2</v>
      </c>
      <c r="E32" t="s">
        <v>58</v>
      </c>
      <c r="G32">
        <v>2</v>
      </c>
      <c r="J32" s="10">
        <v>71.445246620951181</v>
      </c>
    </row>
    <row r="33" spans="1:10" x14ac:dyDescent="0.55000000000000004">
      <c r="A33">
        <v>4.8</v>
      </c>
      <c r="B33">
        <v>3.1</v>
      </c>
      <c r="C33">
        <v>1.6</v>
      </c>
      <c r="D33">
        <v>0.2</v>
      </c>
      <c r="E33" t="s">
        <v>58</v>
      </c>
      <c r="G33">
        <v>2</v>
      </c>
      <c r="J33" s="10">
        <v>49.977678460300098</v>
      </c>
    </row>
    <row r="34" spans="1:10" x14ac:dyDescent="0.55000000000000004">
      <c r="A34">
        <v>5.4</v>
      </c>
      <c r="B34">
        <v>3.4</v>
      </c>
      <c r="C34">
        <v>1.5</v>
      </c>
      <c r="D34">
        <v>0.4</v>
      </c>
      <c r="E34" t="s">
        <v>58</v>
      </c>
      <c r="G34">
        <v>2</v>
      </c>
      <c r="J34" s="10">
        <v>39.066035353535369</v>
      </c>
    </row>
    <row r="35" spans="1:10" x14ac:dyDescent="0.55000000000000004">
      <c r="A35">
        <v>5.2</v>
      </c>
      <c r="B35">
        <v>4.0999999999999996</v>
      </c>
      <c r="C35">
        <v>1.5</v>
      </c>
      <c r="D35">
        <v>0.1</v>
      </c>
      <c r="E35" t="s">
        <v>58</v>
      </c>
      <c r="G35">
        <v>2</v>
      </c>
    </row>
    <row r="36" spans="1:10" ht="17.399999999999999" x14ac:dyDescent="0.55000000000000004">
      <c r="A36">
        <v>5.5</v>
      </c>
      <c r="B36">
        <v>4.2</v>
      </c>
      <c r="C36">
        <v>1.4</v>
      </c>
      <c r="D36">
        <v>0.2</v>
      </c>
      <c r="E36" t="s">
        <v>58</v>
      </c>
      <c r="G36">
        <v>2</v>
      </c>
      <c r="I36" s="4" t="s">
        <v>70</v>
      </c>
    </row>
    <row r="37" spans="1:10" x14ac:dyDescent="0.55000000000000004">
      <c r="A37">
        <v>4.9000000000000004</v>
      </c>
      <c r="B37">
        <v>3.1</v>
      </c>
      <c r="C37">
        <v>1.5</v>
      </c>
      <c r="D37">
        <v>0.2</v>
      </c>
      <c r="E37" t="s">
        <v>58</v>
      </c>
      <c r="G37">
        <v>2</v>
      </c>
      <c r="J37" s="10" t="str" cm="1">
        <f t="array" ref="J37:J48">_xll.J.Clustering($A$3:$D$152,$M$2,$M$3,$J$8)</f>
        <v>C1 V1: mu=5.884 sd=0.448</v>
      </c>
    </row>
    <row r="38" spans="1:10" x14ac:dyDescent="0.55000000000000004">
      <c r="A38">
        <v>5</v>
      </c>
      <c r="B38">
        <v>3.2</v>
      </c>
      <c r="C38">
        <v>1.2</v>
      </c>
      <c r="D38">
        <v>0.2</v>
      </c>
      <c r="E38" t="s">
        <v>58</v>
      </c>
      <c r="G38">
        <v>2</v>
      </c>
      <c r="J38" s="13" t="str">
        <v>C1 V2: mu=2.741 sd=0.293</v>
      </c>
    </row>
    <row r="39" spans="1:10" x14ac:dyDescent="0.55000000000000004">
      <c r="A39">
        <v>5.5</v>
      </c>
      <c r="B39">
        <v>3.5</v>
      </c>
      <c r="C39">
        <v>1.3</v>
      </c>
      <c r="D39">
        <v>0.2</v>
      </c>
      <c r="E39" t="s">
        <v>58</v>
      </c>
      <c r="G39">
        <v>2</v>
      </c>
      <c r="J39" s="13" t="str">
        <v>C1 V3: mu=4.389 sd=0.512</v>
      </c>
    </row>
    <row r="40" spans="1:10" x14ac:dyDescent="0.55000000000000004">
      <c r="A40">
        <v>4.9000000000000004</v>
      </c>
      <c r="B40">
        <v>3.6</v>
      </c>
      <c r="C40">
        <v>1.4</v>
      </c>
      <c r="D40">
        <v>0.1</v>
      </c>
      <c r="E40" t="s">
        <v>58</v>
      </c>
      <c r="G40">
        <v>2</v>
      </c>
      <c r="J40" s="13" t="str">
        <v>C1 V4: mu=1.434 sd=0.3</v>
      </c>
    </row>
    <row r="41" spans="1:10" x14ac:dyDescent="0.55000000000000004">
      <c r="A41">
        <v>4.4000000000000004</v>
      </c>
      <c r="B41">
        <v>3</v>
      </c>
      <c r="C41">
        <v>1.3</v>
      </c>
      <c r="D41">
        <v>0.2</v>
      </c>
      <c r="E41" t="s">
        <v>58</v>
      </c>
      <c r="G41">
        <v>2</v>
      </c>
      <c r="J41" s="13" t="str">
        <v>C2 V1: mu=5.006 sd=0.352</v>
      </c>
    </row>
    <row r="42" spans="1:10" x14ac:dyDescent="0.55000000000000004">
      <c r="A42">
        <v>5.0999999999999996</v>
      </c>
      <c r="B42">
        <v>3.4</v>
      </c>
      <c r="C42">
        <v>1.5</v>
      </c>
      <c r="D42">
        <v>0.2</v>
      </c>
      <c r="E42" t="s">
        <v>58</v>
      </c>
      <c r="G42">
        <v>2</v>
      </c>
      <c r="J42" s="13" t="str">
        <v>C2 V2: mu=3.428 sd=0.379</v>
      </c>
    </row>
    <row r="43" spans="1:10" x14ac:dyDescent="0.55000000000000004">
      <c r="A43">
        <v>5</v>
      </c>
      <c r="B43">
        <v>3.5</v>
      </c>
      <c r="C43">
        <v>1.3</v>
      </c>
      <c r="D43">
        <v>0.3</v>
      </c>
      <c r="E43" t="s">
        <v>58</v>
      </c>
      <c r="G43">
        <v>2</v>
      </c>
      <c r="J43" s="13" t="str">
        <v>C2 V3: mu=1.462 sd=0.174</v>
      </c>
    </row>
    <row r="44" spans="1:10" x14ac:dyDescent="0.55000000000000004">
      <c r="A44">
        <v>4.5</v>
      </c>
      <c r="B44">
        <v>2.2999999999999998</v>
      </c>
      <c r="C44">
        <v>1.3</v>
      </c>
      <c r="D44">
        <v>0.3</v>
      </c>
      <c r="E44" t="s">
        <v>58</v>
      </c>
      <c r="G44">
        <v>2</v>
      </c>
      <c r="J44" s="13" t="str">
        <v>C2 V4: mu=0.246 sd=0.105</v>
      </c>
    </row>
    <row r="45" spans="1:10" x14ac:dyDescent="0.55000000000000004">
      <c r="A45">
        <v>4.4000000000000004</v>
      </c>
      <c r="B45">
        <v>3.2</v>
      </c>
      <c r="C45">
        <v>1.3</v>
      </c>
      <c r="D45">
        <v>0.2</v>
      </c>
      <c r="E45" t="s">
        <v>58</v>
      </c>
      <c r="G45">
        <v>2</v>
      </c>
      <c r="J45" s="13" t="str">
        <v>C3 V1: mu=6.854 sd=0.488</v>
      </c>
    </row>
    <row r="46" spans="1:10" x14ac:dyDescent="0.55000000000000004">
      <c r="A46">
        <v>5</v>
      </c>
      <c r="B46">
        <v>3.5</v>
      </c>
      <c r="C46">
        <v>1.6</v>
      </c>
      <c r="D46">
        <v>0.6</v>
      </c>
      <c r="E46" t="s">
        <v>58</v>
      </c>
      <c r="G46">
        <v>2</v>
      </c>
      <c r="J46" s="13" t="str">
        <v>C3 V2: mu=3.077 sd=0.287</v>
      </c>
    </row>
    <row r="47" spans="1:10" x14ac:dyDescent="0.55000000000000004">
      <c r="A47">
        <v>5.0999999999999996</v>
      </c>
      <c r="B47">
        <v>3.8</v>
      </c>
      <c r="C47">
        <v>1.9</v>
      </c>
      <c r="D47">
        <v>0.4</v>
      </c>
      <c r="E47" t="s">
        <v>58</v>
      </c>
      <c r="G47">
        <v>2</v>
      </c>
      <c r="J47" s="13" t="str">
        <v>C3 V3: mu=5.715 sd=0.51</v>
      </c>
    </row>
    <row r="48" spans="1:10" x14ac:dyDescent="0.55000000000000004">
      <c r="A48">
        <v>4.8</v>
      </c>
      <c r="B48">
        <v>3</v>
      </c>
      <c r="C48">
        <v>1.4</v>
      </c>
      <c r="D48">
        <v>0.3</v>
      </c>
      <c r="E48" t="s">
        <v>58</v>
      </c>
      <c r="G48">
        <v>2</v>
      </c>
      <c r="J48" s="13" t="str">
        <v>C3 V4: mu=2.054 sd=0.296</v>
      </c>
    </row>
    <row r="49" spans="1:7" x14ac:dyDescent="0.55000000000000004">
      <c r="A49">
        <v>5.0999999999999996</v>
      </c>
      <c r="B49">
        <v>3.8</v>
      </c>
      <c r="C49">
        <v>1.6</v>
      </c>
      <c r="D49">
        <v>0.2</v>
      </c>
      <c r="E49" t="s">
        <v>58</v>
      </c>
      <c r="G49">
        <v>2</v>
      </c>
    </row>
    <row r="50" spans="1:7" x14ac:dyDescent="0.55000000000000004">
      <c r="A50">
        <v>4.5999999999999996</v>
      </c>
      <c r="B50">
        <v>3.2</v>
      </c>
      <c r="C50">
        <v>1.4</v>
      </c>
      <c r="D50">
        <v>0.2</v>
      </c>
      <c r="E50" t="s">
        <v>58</v>
      </c>
      <c r="G50">
        <v>2</v>
      </c>
    </row>
    <row r="51" spans="1:7" x14ac:dyDescent="0.55000000000000004">
      <c r="A51">
        <v>5.3</v>
      </c>
      <c r="B51">
        <v>3.7</v>
      </c>
      <c r="C51">
        <v>1.5</v>
      </c>
      <c r="D51">
        <v>0.2</v>
      </c>
      <c r="E51" t="s">
        <v>58</v>
      </c>
      <c r="G51">
        <v>2</v>
      </c>
    </row>
    <row r="52" spans="1:7" x14ac:dyDescent="0.55000000000000004">
      <c r="A52">
        <v>5</v>
      </c>
      <c r="B52">
        <v>3.3</v>
      </c>
      <c r="C52">
        <v>1.4</v>
      </c>
      <c r="D52">
        <v>0.2</v>
      </c>
      <c r="E52" t="s">
        <v>58</v>
      </c>
      <c r="G52">
        <v>2</v>
      </c>
    </row>
    <row r="53" spans="1:7" x14ac:dyDescent="0.55000000000000004">
      <c r="A53">
        <v>7</v>
      </c>
      <c r="B53">
        <v>3.2</v>
      </c>
      <c r="C53">
        <v>4.7</v>
      </c>
      <c r="D53">
        <v>1.4</v>
      </c>
      <c r="E53" t="s">
        <v>59</v>
      </c>
      <c r="G53">
        <v>3</v>
      </c>
    </row>
    <row r="54" spans="1:7" x14ac:dyDescent="0.55000000000000004">
      <c r="A54">
        <v>6.4</v>
      </c>
      <c r="B54">
        <v>3.2</v>
      </c>
      <c r="C54">
        <v>4.5</v>
      </c>
      <c r="D54">
        <v>1.5</v>
      </c>
      <c r="E54" t="s">
        <v>59</v>
      </c>
      <c r="G54">
        <v>1</v>
      </c>
    </row>
    <row r="55" spans="1:7" x14ac:dyDescent="0.55000000000000004">
      <c r="A55">
        <v>6.9</v>
      </c>
      <c r="B55">
        <v>3.1</v>
      </c>
      <c r="C55">
        <v>4.9000000000000004</v>
      </c>
      <c r="D55">
        <v>1.5</v>
      </c>
      <c r="E55" t="s">
        <v>59</v>
      </c>
      <c r="G55">
        <v>3</v>
      </c>
    </row>
    <row r="56" spans="1:7" x14ac:dyDescent="0.55000000000000004">
      <c r="A56">
        <v>5.5</v>
      </c>
      <c r="B56">
        <v>2.2999999999999998</v>
      </c>
      <c r="C56">
        <v>4</v>
      </c>
      <c r="D56">
        <v>1.3</v>
      </c>
      <c r="E56" t="s">
        <v>59</v>
      </c>
      <c r="G56">
        <v>1</v>
      </c>
    </row>
    <row r="57" spans="1:7" x14ac:dyDescent="0.55000000000000004">
      <c r="A57">
        <v>6.5</v>
      </c>
      <c r="B57">
        <v>2.8</v>
      </c>
      <c r="C57">
        <v>4.5999999999999996</v>
      </c>
      <c r="D57">
        <v>1.5</v>
      </c>
      <c r="E57" t="s">
        <v>59</v>
      </c>
      <c r="G57">
        <v>1</v>
      </c>
    </row>
    <row r="58" spans="1:7" x14ac:dyDescent="0.55000000000000004">
      <c r="A58">
        <v>5.7</v>
      </c>
      <c r="B58">
        <v>2.8</v>
      </c>
      <c r="C58">
        <v>4.5</v>
      </c>
      <c r="D58">
        <v>1.3</v>
      </c>
      <c r="E58" t="s">
        <v>59</v>
      </c>
      <c r="G58">
        <v>1</v>
      </c>
    </row>
    <row r="59" spans="1:7" x14ac:dyDescent="0.55000000000000004">
      <c r="A59">
        <v>6.3</v>
      </c>
      <c r="B59">
        <v>3.3</v>
      </c>
      <c r="C59">
        <v>4.7</v>
      </c>
      <c r="D59">
        <v>1.6</v>
      </c>
      <c r="E59" t="s">
        <v>59</v>
      </c>
      <c r="G59">
        <v>1</v>
      </c>
    </row>
    <row r="60" spans="1:7" x14ac:dyDescent="0.55000000000000004">
      <c r="A60">
        <v>4.9000000000000004</v>
      </c>
      <c r="B60">
        <v>2.4</v>
      </c>
      <c r="C60">
        <v>3.3</v>
      </c>
      <c r="D60">
        <v>1</v>
      </c>
      <c r="E60" t="s">
        <v>59</v>
      </c>
      <c r="G60">
        <v>1</v>
      </c>
    </row>
    <row r="61" spans="1:7" x14ac:dyDescent="0.55000000000000004">
      <c r="A61">
        <v>6.6</v>
      </c>
      <c r="B61">
        <v>2.9</v>
      </c>
      <c r="C61">
        <v>4.5999999999999996</v>
      </c>
      <c r="D61">
        <v>1.3</v>
      </c>
      <c r="E61" t="s">
        <v>59</v>
      </c>
      <c r="G61">
        <v>1</v>
      </c>
    </row>
    <row r="62" spans="1:7" x14ac:dyDescent="0.55000000000000004">
      <c r="A62">
        <v>5.2</v>
      </c>
      <c r="B62">
        <v>2.7</v>
      </c>
      <c r="C62">
        <v>3.9</v>
      </c>
      <c r="D62">
        <v>1.4</v>
      </c>
      <c r="E62" t="s">
        <v>59</v>
      </c>
      <c r="G62">
        <v>1</v>
      </c>
    </row>
    <row r="63" spans="1:7" x14ac:dyDescent="0.55000000000000004">
      <c r="A63">
        <v>5</v>
      </c>
      <c r="B63">
        <v>2</v>
      </c>
      <c r="C63">
        <v>3.5</v>
      </c>
      <c r="D63">
        <v>1</v>
      </c>
      <c r="E63" t="s">
        <v>59</v>
      </c>
      <c r="G63">
        <v>1</v>
      </c>
    </row>
    <row r="64" spans="1:7" x14ac:dyDescent="0.55000000000000004">
      <c r="A64">
        <v>5.9</v>
      </c>
      <c r="B64">
        <v>3</v>
      </c>
      <c r="C64">
        <v>4.2</v>
      </c>
      <c r="D64">
        <v>1.5</v>
      </c>
      <c r="E64" t="s">
        <v>59</v>
      </c>
      <c r="G64">
        <v>1</v>
      </c>
    </row>
    <row r="65" spans="1:7" x14ac:dyDescent="0.55000000000000004">
      <c r="A65">
        <v>6</v>
      </c>
      <c r="B65">
        <v>2.2000000000000002</v>
      </c>
      <c r="C65">
        <v>4</v>
      </c>
      <c r="D65">
        <v>1</v>
      </c>
      <c r="E65" t="s">
        <v>59</v>
      </c>
      <c r="G65">
        <v>1</v>
      </c>
    </row>
    <row r="66" spans="1:7" x14ac:dyDescent="0.55000000000000004">
      <c r="A66">
        <v>6.1</v>
      </c>
      <c r="B66">
        <v>2.9</v>
      </c>
      <c r="C66">
        <v>4.7</v>
      </c>
      <c r="D66">
        <v>1.4</v>
      </c>
      <c r="E66" t="s">
        <v>59</v>
      </c>
      <c r="G66">
        <v>1</v>
      </c>
    </row>
    <row r="67" spans="1:7" x14ac:dyDescent="0.55000000000000004">
      <c r="A67">
        <v>5.6</v>
      </c>
      <c r="B67">
        <v>2.9</v>
      </c>
      <c r="C67">
        <v>3.6</v>
      </c>
      <c r="D67">
        <v>1.3</v>
      </c>
      <c r="E67" t="s">
        <v>59</v>
      </c>
      <c r="G67">
        <v>1</v>
      </c>
    </row>
    <row r="68" spans="1:7" x14ac:dyDescent="0.55000000000000004">
      <c r="A68">
        <v>6.7</v>
      </c>
      <c r="B68">
        <v>3.1</v>
      </c>
      <c r="C68">
        <v>4.4000000000000004</v>
      </c>
      <c r="D68">
        <v>1.4</v>
      </c>
      <c r="E68" t="s">
        <v>59</v>
      </c>
      <c r="G68">
        <v>1</v>
      </c>
    </row>
    <row r="69" spans="1:7" x14ac:dyDescent="0.55000000000000004">
      <c r="A69">
        <v>5.6</v>
      </c>
      <c r="B69">
        <v>3</v>
      </c>
      <c r="C69">
        <v>4.5</v>
      </c>
      <c r="D69">
        <v>1.5</v>
      </c>
      <c r="E69" t="s">
        <v>59</v>
      </c>
      <c r="G69">
        <v>1</v>
      </c>
    </row>
    <row r="70" spans="1:7" x14ac:dyDescent="0.55000000000000004">
      <c r="A70">
        <v>5.8</v>
      </c>
      <c r="B70">
        <v>2.7</v>
      </c>
      <c r="C70">
        <v>4.0999999999999996</v>
      </c>
      <c r="D70">
        <v>1</v>
      </c>
      <c r="E70" t="s">
        <v>59</v>
      </c>
      <c r="G70">
        <v>1</v>
      </c>
    </row>
    <row r="71" spans="1:7" x14ac:dyDescent="0.55000000000000004">
      <c r="A71">
        <v>6.2</v>
      </c>
      <c r="B71">
        <v>2.2000000000000002</v>
      </c>
      <c r="C71">
        <v>4.5</v>
      </c>
      <c r="D71">
        <v>1.5</v>
      </c>
      <c r="E71" t="s">
        <v>59</v>
      </c>
      <c r="G71">
        <v>1</v>
      </c>
    </row>
    <row r="72" spans="1:7" x14ac:dyDescent="0.55000000000000004">
      <c r="A72">
        <v>5.6</v>
      </c>
      <c r="B72">
        <v>2.5</v>
      </c>
      <c r="C72">
        <v>3.9</v>
      </c>
      <c r="D72">
        <v>1.1000000000000001</v>
      </c>
      <c r="E72" t="s">
        <v>59</v>
      </c>
      <c r="G72">
        <v>1</v>
      </c>
    </row>
    <row r="73" spans="1:7" x14ac:dyDescent="0.55000000000000004">
      <c r="A73">
        <v>5.9</v>
      </c>
      <c r="B73">
        <v>3.2</v>
      </c>
      <c r="C73">
        <v>4.8</v>
      </c>
      <c r="D73">
        <v>1.8</v>
      </c>
      <c r="E73" t="s">
        <v>59</v>
      </c>
      <c r="G73">
        <v>1</v>
      </c>
    </row>
    <row r="74" spans="1:7" x14ac:dyDescent="0.55000000000000004">
      <c r="A74">
        <v>6.1</v>
      </c>
      <c r="B74">
        <v>2.8</v>
      </c>
      <c r="C74">
        <v>4</v>
      </c>
      <c r="D74">
        <v>1.3</v>
      </c>
      <c r="E74" t="s">
        <v>59</v>
      </c>
      <c r="G74">
        <v>1</v>
      </c>
    </row>
    <row r="75" spans="1:7" x14ac:dyDescent="0.55000000000000004">
      <c r="A75">
        <v>6.3</v>
      </c>
      <c r="B75">
        <v>2.5</v>
      </c>
      <c r="C75">
        <v>4.9000000000000004</v>
      </c>
      <c r="D75">
        <v>1.5</v>
      </c>
      <c r="E75" t="s">
        <v>59</v>
      </c>
      <c r="G75">
        <v>1</v>
      </c>
    </row>
    <row r="76" spans="1:7" x14ac:dyDescent="0.55000000000000004">
      <c r="A76">
        <v>6.1</v>
      </c>
      <c r="B76">
        <v>2.8</v>
      </c>
      <c r="C76">
        <v>4.7</v>
      </c>
      <c r="D76">
        <v>1.2</v>
      </c>
      <c r="E76" t="s">
        <v>59</v>
      </c>
      <c r="G76">
        <v>1</v>
      </c>
    </row>
    <row r="77" spans="1:7" x14ac:dyDescent="0.55000000000000004">
      <c r="A77">
        <v>6.4</v>
      </c>
      <c r="B77">
        <v>2.9</v>
      </c>
      <c r="C77">
        <v>4.3</v>
      </c>
      <c r="D77">
        <v>1.3</v>
      </c>
      <c r="E77" t="s">
        <v>59</v>
      </c>
      <c r="G77">
        <v>1</v>
      </c>
    </row>
    <row r="78" spans="1:7" x14ac:dyDescent="0.55000000000000004">
      <c r="A78">
        <v>6.6</v>
      </c>
      <c r="B78">
        <v>3</v>
      </c>
      <c r="C78">
        <v>4.4000000000000004</v>
      </c>
      <c r="D78">
        <v>1.4</v>
      </c>
      <c r="E78" t="s">
        <v>59</v>
      </c>
      <c r="G78">
        <v>1</v>
      </c>
    </row>
    <row r="79" spans="1:7" x14ac:dyDescent="0.55000000000000004">
      <c r="A79">
        <v>6.8</v>
      </c>
      <c r="B79">
        <v>2.8</v>
      </c>
      <c r="C79">
        <v>4.8</v>
      </c>
      <c r="D79">
        <v>1.4</v>
      </c>
      <c r="E79" t="s">
        <v>59</v>
      </c>
      <c r="G79">
        <v>1</v>
      </c>
    </row>
    <row r="80" spans="1:7" x14ac:dyDescent="0.55000000000000004">
      <c r="A80">
        <v>6.7</v>
      </c>
      <c r="B80">
        <v>3</v>
      </c>
      <c r="C80">
        <v>5</v>
      </c>
      <c r="D80">
        <v>1.7</v>
      </c>
      <c r="E80" t="s">
        <v>59</v>
      </c>
      <c r="G80">
        <v>3</v>
      </c>
    </row>
    <row r="81" spans="1:7" x14ac:dyDescent="0.55000000000000004">
      <c r="A81">
        <v>6</v>
      </c>
      <c r="B81">
        <v>2.9</v>
      </c>
      <c r="C81">
        <v>4.5</v>
      </c>
      <c r="D81">
        <v>1.5</v>
      </c>
      <c r="E81" t="s">
        <v>59</v>
      </c>
      <c r="G81">
        <v>1</v>
      </c>
    </row>
    <row r="82" spans="1:7" x14ac:dyDescent="0.55000000000000004">
      <c r="A82">
        <v>5.7</v>
      </c>
      <c r="B82">
        <v>2.6</v>
      </c>
      <c r="C82">
        <v>3.5</v>
      </c>
      <c r="D82">
        <v>1</v>
      </c>
      <c r="E82" t="s">
        <v>59</v>
      </c>
      <c r="G82">
        <v>1</v>
      </c>
    </row>
    <row r="83" spans="1:7" x14ac:dyDescent="0.55000000000000004">
      <c r="A83">
        <v>5.5</v>
      </c>
      <c r="B83">
        <v>2.4</v>
      </c>
      <c r="C83">
        <v>3.8</v>
      </c>
      <c r="D83">
        <v>1.1000000000000001</v>
      </c>
      <c r="E83" t="s">
        <v>59</v>
      </c>
      <c r="G83">
        <v>1</v>
      </c>
    </row>
    <row r="84" spans="1:7" x14ac:dyDescent="0.55000000000000004">
      <c r="A84">
        <v>5.5</v>
      </c>
      <c r="B84">
        <v>2.4</v>
      </c>
      <c r="C84">
        <v>3.7</v>
      </c>
      <c r="D84">
        <v>1</v>
      </c>
      <c r="E84" t="s">
        <v>59</v>
      </c>
      <c r="G84">
        <v>1</v>
      </c>
    </row>
    <row r="85" spans="1:7" x14ac:dyDescent="0.55000000000000004">
      <c r="A85">
        <v>5.8</v>
      </c>
      <c r="B85">
        <v>2.7</v>
      </c>
      <c r="C85">
        <v>3.9</v>
      </c>
      <c r="D85">
        <v>1.2</v>
      </c>
      <c r="E85" t="s">
        <v>59</v>
      </c>
      <c r="G85">
        <v>1</v>
      </c>
    </row>
    <row r="86" spans="1:7" x14ac:dyDescent="0.55000000000000004">
      <c r="A86">
        <v>6</v>
      </c>
      <c r="B86">
        <v>2.7</v>
      </c>
      <c r="C86">
        <v>5.0999999999999996</v>
      </c>
      <c r="D86">
        <v>1.6</v>
      </c>
      <c r="E86" t="s">
        <v>59</v>
      </c>
      <c r="G86">
        <v>1</v>
      </c>
    </row>
    <row r="87" spans="1:7" x14ac:dyDescent="0.55000000000000004">
      <c r="A87">
        <v>5.4</v>
      </c>
      <c r="B87">
        <v>3</v>
      </c>
      <c r="C87">
        <v>4.5</v>
      </c>
      <c r="D87">
        <v>1.5</v>
      </c>
      <c r="E87" t="s">
        <v>59</v>
      </c>
      <c r="G87">
        <v>1</v>
      </c>
    </row>
    <row r="88" spans="1:7" x14ac:dyDescent="0.55000000000000004">
      <c r="A88">
        <v>6</v>
      </c>
      <c r="B88">
        <v>3.4</v>
      </c>
      <c r="C88">
        <v>4.5</v>
      </c>
      <c r="D88">
        <v>1.6</v>
      </c>
      <c r="E88" t="s">
        <v>59</v>
      </c>
      <c r="G88">
        <v>1</v>
      </c>
    </row>
    <row r="89" spans="1:7" x14ac:dyDescent="0.55000000000000004">
      <c r="A89">
        <v>6.7</v>
      </c>
      <c r="B89">
        <v>3.1</v>
      </c>
      <c r="C89">
        <v>4.7</v>
      </c>
      <c r="D89">
        <v>1.5</v>
      </c>
      <c r="E89" t="s">
        <v>59</v>
      </c>
      <c r="G89">
        <v>1</v>
      </c>
    </row>
    <row r="90" spans="1:7" x14ac:dyDescent="0.55000000000000004">
      <c r="A90">
        <v>6.3</v>
      </c>
      <c r="B90">
        <v>2.2999999999999998</v>
      </c>
      <c r="C90">
        <v>4.4000000000000004</v>
      </c>
      <c r="D90">
        <v>1.3</v>
      </c>
      <c r="E90" t="s">
        <v>59</v>
      </c>
      <c r="G90">
        <v>1</v>
      </c>
    </row>
    <row r="91" spans="1:7" x14ac:dyDescent="0.55000000000000004">
      <c r="A91">
        <v>5.6</v>
      </c>
      <c r="B91">
        <v>3</v>
      </c>
      <c r="C91">
        <v>4.0999999999999996</v>
      </c>
      <c r="D91">
        <v>1.3</v>
      </c>
      <c r="E91" t="s">
        <v>59</v>
      </c>
      <c r="G91">
        <v>1</v>
      </c>
    </row>
    <row r="92" spans="1:7" x14ac:dyDescent="0.55000000000000004">
      <c r="A92">
        <v>5.5</v>
      </c>
      <c r="B92">
        <v>2.5</v>
      </c>
      <c r="C92">
        <v>4</v>
      </c>
      <c r="D92">
        <v>1.3</v>
      </c>
      <c r="E92" t="s">
        <v>59</v>
      </c>
      <c r="G92">
        <v>1</v>
      </c>
    </row>
    <row r="93" spans="1:7" x14ac:dyDescent="0.55000000000000004">
      <c r="A93">
        <v>5.5</v>
      </c>
      <c r="B93">
        <v>2.6</v>
      </c>
      <c r="C93">
        <v>4.4000000000000004</v>
      </c>
      <c r="D93">
        <v>1.2</v>
      </c>
      <c r="E93" t="s">
        <v>59</v>
      </c>
      <c r="G93">
        <v>1</v>
      </c>
    </row>
    <row r="94" spans="1:7" x14ac:dyDescent="0.55000000000000004">
      <c r="A94">
        <v>6.1</v>
      </c>
      <c r="B94">
        <v>3</v>
      </c>
      <c r="C94">
        <v>4.5999999999999996</v>
      </c>
      <c r="D94">
        <v>1.4</v>
      </c>
      <c r="E94" t="s">
        <v>59</v>
      </c>
      <c r="G94">
        <v>1</v>
      </c>
    </row>
    <row r="95" spans="1:7" x14ac:dyDescent="0.55000000000000004">
      <c r="A95">
        <v>5.8</v>
      </c>
      <c r="B95">
        <v>2.6</v>
      </c>
      <c r="C95">
        <v>4</v>
      </c>
      <c r="D95">
        <v>1.2</v>
      </c>
      <c r="E95" t="s">
        <v>59</v>
      </c>
      <c r="G95">
        <v>1</v>
      </c>
    </row>
    <row r="96" spans="1:7" x14ac:dyDescent="0.55000000000000004">
      <c r="A96">
        <v>5</v>
      </c>
      <c r="B96">
        <v>2.2999999999999998</v>
      </c>
      <c r="C96">
        <v>3.3</v>
      </c>
      <c r="D96">
        <v>1</v>
      </c>
      <c r="E96" t="s">
        <v>59</v>
      </c>
      <c r="G96">
        <v>1</v>
      </c>
    </row>
    <row r="97" spans="1:7" x14ac:dyDescent="0.55000000000000004">
      <c r="A97">
        <v>5.6</v>
      </c>
      <c r="B97">
        <v>2.7</v>
      </c>
      <c r="C97">
        <v>4.2</v>
      </c>
      <c r="D97">
        <v>1.3</v>
      </c>
      <c r="E97" t="s">
        <v>59</v>
      </c>
      <c r="G97">
        <v>1</v>
      </c>
    </row>
    <row r="98" spans="1:7" x14ac:dyDescent="0.55000000000000004">
      <c r="A98">
        <v>5.7</v>
      </c>
      <c r="B98">
        <v>3</v>
      </c>
      <c r="C98">
        <v>4.2</v>
      </c>
      <c r="D98">
        <v>1.2</v>
      </c>
      <c r="E98" t="s">
        <v>59</v>
      </c>
      <c r="G98">
        <v>1</v>
      </c>
    </row>
    <row r="99" spans="1:7" x14ac:dyDescent="0.55000000000000004">
      <c r="A99">
        <v>5.7</v>
      </c>
      <c r="B99">
        <v>2.9</v>
      </c>
      <c r="C99">
        <v>4.2</v>
      </c>
      <c r="D99">
        <v>1.3</v>
      </c>
      <c r="E99" t="s">
        <v>59</v>
      </c>
      <c r="G99">
        <v>1</v>
      </c>
    </row>
    <row r="100" spans="1:7" x14ac:dyDescent="0.55000000000000004">
      <c r="A100">
        <v>6.2</v>
      </c>
      <c r="B100">
        <v>2.9</v>
      </c>
      <c r="C100">
        <v>4.3</v>
      </c>
      <c r="D100">
        <v>1.3</v>
      </c>
      <c r="E100" t="s">
        <v>59</v>
      </c>
      <c r="G100">
        <v>1</v>
      </c>
    </row>
    <row r="101" spans="1:7" x14ac:dyDescent="0.55000000000000004">
      <c r="A101">
        <v>5.0999999999999996</v>
      </c>
      <c r="B101">
        <v>2.5</v>
      </c>
      <c r="C101">
        <v>3</v>
      </c>
      <c r="D101">
        <v>1.1000000000000001</v>
      </c>
      <c r="E101" t="s">
        <v>59</v>
      </c>
      <c r="G101">
        <v>1</v>
      </c>
    </row>
    <row r="102" spans="1:7" x14ac:dyDescent="0.55000000000000004">
      <c r="A102">
        <v>5.7</v>
      </c>
      <c r="B102">
        <v>2.8</v>
      </c>
      <c r="C102">
        <v>4.0999999999999996</v>
      </c>
      <c r="D102">
        <v>1.3</v>
      </c>
      <c r="E102" t="s">
        <v>59</v>
      </c>
      <c r="G102">
        <v>1</v>
      </c>
    </row>
    <row r="103" spans="1:7" x14ac:dyDescent="0.55000000000000004">
      <c r="A103">
        <v>6.3</v>
      </c>
      <c r="B103">
        <v>3.3</v>
      </c>
      <c r="C103">
        <v>6</v>
      </c>
      <c r="D103">
        <v>2.5</v>
      </c>
      <c r="E103" t="s">
        <v>60</v>
      </c>
      <c r="G103">
        <v>3</v>
      </c>
    </row>
    <row r="104" spans="1:7" x14ac:dyDescent="0.55000000000000004">
      <c r="A104">
        <v>5.8</v>
      </c>
      <c r="B104">
        <v>2.7</v>
      </c>
      <c r="C104">
        <v>5.0999999999999996</v>
      </c>
      <c r="D104">
        <v>1.9</v>
      </c>
      <c r="E104" t="s">
        <v>60</v>
      </c>
      <c r="G104">
        <v>1</v>
      </c>
    </row>
    <row r="105" spans="1:7" x14ac:dyDescent="0.55000000000000004">
      <c r="A105">
        <v>7.1</v>
      </c>
      <c r="B105">
        <v>3</v>
      </c>
      <c r="C105">
        <v>5.9</v>
      </c>
      <c r="D105">
        <v>2.1</v>
      </c>
      <c r="E105" t="s">
        <v>60</v>
      </c>
      <c r="G105">
        <v>3</v>
      </c>
    </row>
    <row r="106" spans="1:7" x14ac:dyDescent="0.55000000000000004">
      <c r="A106">
        <v>6.3</v>
      </c>
      <c r="B106">
        <v>2.9</v>
      </c>
      <c r="C106">
        <v>5.6</v>
      </c>
      <c r="D106">
        <v>1.8</v>
      </c>
      <c r="E106" t="s">
        <v>60</v>
      </c>
      <c r="G106">
        <v>3</v>
      </c>
    </row>
    <row r="107" spans="1:7" x14ac:dyDescent="0.55000000000000004">
      <c r="A107">
        <v>6.5</v>
      </c>
      <c r="B107">
        <v>3</v>
      </c>
      <c r="C107">
        <v>5.8</v>
      </c>
      <c r="D107">
        <v>2.2000000000000002</v>
      </c>
      <c r="E107" t="s">
        <v>60</v>
      </c>
      <c r="G107">
        <v>3</v>
      </c>
    </row>
    <row r="108" spans="1:7" x14ac:dyDescent="0.55000000000000004">
      <c r="A108">
        <v>7.6</v>
      </c>
      <c r="B108">
        <v>3</v>
      </c>
      <c r="C108">
        <v>6.6</v>
      </c>
      <c r="D108">
        <v>2.1</v>
      </c>
      <c r="E108" t="s">
        <v>60</v>
      </c>
      <c r="G108">
        <v>3</v>
      </c>
    </row>
    <row r="109" spans="1:7" x14ac:dyDescent="0.55000000000000004">
      <c r="A109">
        <v>4.9000000000000004</v>
      </c>
      <c r="B109">
        <v>2.5</v>
      </c>
      <c r="C109">
        <v>4.5</v>
      </c>
      <c r="D109">
        <v>1.7</v>
      </c>
      <c r="E109" t="s">
        <v>60</v>
      </c>
      <c r="G109">
        <v>1</v>
      </c>
    </row>
    <row r="110" spans="1:7" x14ac:dyDescent="0.55000000000000004">
      <c r="A110">
        <v>7.3</v>
      </c>
      <c r="B110">
        <v>2.9</v>
      </c>
      <c r="C110">
        <v>6.3</v>
      </c>
      <c r="D110">
        <v>1.8</v>
      </c>
      <c r="E110" t="s">
        <v>60</v>
      </c>
      <c r="G110">
        <v>3</v>
      </c>
    </row>
    <row r="111" spans="1:7" x14ac:dyDescent="0.55000000000000004">
      <c r="A111">
        <v>6.7</v>
      </c>
      <c r="B111">
        <v>2.5</v>
      </c>
      <c r="C111">
        <v>5.8</v>
      </c>
      <c r="D111">
        <v>1.8</v>
      </c>
      <c r="E111" t="s">
        <v>60</v>
      </c>
      <c r="G111">
        <v>3</v>
      </c>
    </row>
    <row r="112" spans="1:7" x14ac:dyDescent="0.55000000000000004">
      <c r="A112">
        <v>7.2</v>
      </c>
      <c r="B112">
        <v>3.6</v>
      </c>
      <c r="C112">
        <v>6.1</v>
      </c>
      <c r="D112">
        <v>2.5</v>
      </c>
      <c r="E112" t="s">
        <v>60</v>
      </c>
      <c r="G112">
        <v>3</v>
      </c>
    </row>
    <row r="113" spans="1:7" x14ac:dyDescent="0.55000000000000004">
      <c r="A113">
        <v>6.5</v>
      </c>
      <c r="B113">
        <v>3.2</v>
      </c>
      <c r="C113">
        <v>5.0999999999999996</v>
      </c>
      <c r="D113">
        <v>2</v>
      </c>
      <c r="E113" t="s">
        <v>60</v>
      </c>
      <c r="G113">
        <v>3</v>
      </c>
    </row>
    <row r="114" spans="1:7" x14ac:dyDescent="0.55000000000000004">
      <c r="A114">
        <v>6.4</v>
      </c>
      <c r="B114">
        <v>2.7</v>
      </c>
      <c r="C114">
        <v>5.3</v>
      </c>
      <c r="D114">
        <v>1.9</v>
      </c>
      <c r="E114" t="s">
        <v>60</v>
      </c>
      <c r="G114">
        <v>3</v>
      </c>
    </row>
    <row r="115" spans="1:7" x14ac:dyDescent="0.55000000000000004">
      <c r="A115">
        <v>6.8</v>
      </c>
      <c r="B115">
        <v>3</v>
      </c>
      <c r="C115">
        <v>5.5</v>
      </c>
      <c r="D115">
        <v>2.1</v>
      </c>
      <c r="E115" t="s">
        <v>60</v>
      </c>
      <c r="G115">
        <v>3</v>
      </c>
    </row>
    <row r="116" spans="1:7" x14ac:dyDescent="0.55000000000000004">
      <c r="A116">
        <v>5.7</v>
      </c>
      <c r="B116">
        <v>2.5</v>
      </c>
      <c r="C116">
        <v>5</v>
      </c>
      <c r="D116">
        <v>2</v>
      </c>
      <c r="E116" t="s">
        <v>60</v>
      </c>
      <c r="G116">
        <v>1</v>
      </c>
    </row>
    <row r="117" spans="1:7" x14ac:dyDescent="0.55000000000000004">
      <c r="A117">
        <v>5.8</v>
      </c>
      <c r="B117">
        <v>2.8</v>
      </c>
      <c r="C117">
        <v>5.0999999999999996</v>
      </c>
      <c r="D117">
        <v>2.4</v>
      </c>
      <c r="E117" t="s">
        <v>60</v>
      </c>
      <c r="G117">
        <v>1</v>
      </c>
    </row>
    <row r="118" spans="1:7" x14ac:dyDescent="0.55000000000000004">
      <c r="A118">
        <v>6.4</v>
      </c>
      <c r="B118">
        <v>3.2</v>
      </c>
      <c r="C118">
        <v>5.3</v>
      </c>
      <c r="D118">
        <v>2.2999999999999998</v>
      </c>
      <c r="E118" t="s">
        <v>60</v>
      </c>
      <c r="G118">
        <v>3</v>
      </c>
    </row>
    <row r="119" spans="1:7" x14ac:dyDescent="0.55000000000000004">
      <c r="A119">
        <v>6.5</v>
      </c>
      <c r="B119">
        <v>3</v>
      </c>
      <c r="C119">
        <v>5.5</v>
      </c>
      <c r="D119">
        <v>1.8</v>
      </c>
      <c r="E119" t="s">
        <v>60</v>
      </c>
      <c r="G119">
        <v>3</v>
      </c>
    </row>
    <row r="120" spans="1:7" x14ac:dyDescent="0.55000000000000004">
      <c r="A120">
        <v>7.7</v>
      </c>
      <c r="B120">
        <v>3.8</v>
      </c>
      <c r="C120">
        <v>6.7</v>
      </c>
      <c r="D120">
        <v>2.2000000000000002</v>
      </c>
      <c r="E120" t="s">
        <v>60</v>
      </c>
      <c r="G120">
        <v>3</v>
      </c>
    </row>
    <row r="121" spans="1:7" x14ac:dyDescent="0.55000000000000004">
      <c r="A121">
        <v>7.7</v>
      </c>
      <c r="B121">
        <v>2.6</v>
      </c>
      <c r="C121">
        <v>6.9</v>
      </c>
      <c r="D121">
        <v>2.2999999999999998</v>
      </c>
      <c r="E121" t="s">
        <v>60</v>
      </c>
      <c r="G121">
        <v>3</v>
      </c>
    </row>
    <row r="122" spans="1:7" x14ac:dyDescent="0.55000000000000004">
      <c r="A122">
        <v>6</v>
      </c>
      <c r="B122">
        <v>2.2000000000000002</v>
      </c>
      <c r="C122">
        <v>5</v>
      </c>
      <c r="D122">
        <v>1.5</v>
      </c>
      <c r="E122" t="s">
        <v>60</v>
      </c>
      <c r="G122">
        <v>1</v>
      </c>
    </row>
    <row r="123" spans="1:7" x14ac:dyDescent="0.55000000000000004">
      <c r="A123">
        <v>6.9</v>
      </c>
      <c r="B123">
        <v>3.2</v>
      </c>
      <c r="C123">
        <v>5.7</v>
      </c>
      <c r="D123">
        <v>2.2999999999999998</v>
      </c>
      <c r="E123" t="s">
        <v>60</v>
      </c>
      <c r="G123">
        <v>3</v>
      </c>
    </row>
    <row r="124" spans="1:7" x14ac:dyDescent="0.55000000000000004">
      <c r="A124">
        <v>5.6</v>
      </c>
      <c r="B124">
        <v>2.8</v>
      </c>
      <c r="C124">
        <v>4.9000000000000004</v>
      </c>
      <c r="D124">
        <v>2</v>
      </c>
      <c r="E124" t="s">
        <v>60</v>
      </c>
      <c r="G124">
        <v>1</v>
      </c>
    </row>
    <row r="125" spans="1:7" x14ac:dyDescent="0.55000000000000004">
      <c r="A125">
        <v>7.7</v>
      </c>
      <c r="B125">
        <v>2.8</v>
      </c>
      <c r="C125">
        <v>6.7</v>
      </c>
      <c r="D125">
        <v>2</v>
      </c>
      <c r="E125" t="s">
        <v>60</v>
      </c>
      <c r="G125">
        <v>3</v>
      </c>
    </row>
    <row r="126" spans="1:7" x14ac:dyDescent="0.55000000000000004">
      <c r="A126">
        <v>6.3</v>
      </c>
      <c r="B126">
        <v>2.7</v>
      </c>
      <c r="C126">
        <v>4.9000000000000004</v>
      </c>
      <c r="D126">
        <v>1.8</v>
      </c>
      <c r="E126" t="s">
        <v>60</v>
      </c>
      <c r="G126">
        <v>1</v>
      </c>
    </row>
    <row r="127" spans="1:7" x14ac:dyDescent="0.55000000000000004">
      <c r="A127">
        <v>6.7</v>
      </c>
      <c r="B127">
        <v>3.3</v>
      </c>
      <c r="C127">
        <v>5.7</v>
      </c>
      <c r="D127">
        <v>2.1</v>
      </c>
      <c r="E127" t="s">
        <v>60</v>
      </c>
      <c r="G127">
        <v>3</v>
      </c>
    </row>
    <row r="128" spans="1:7" x14ac:dyDescent="0.55000000000000004">
      <c r="A128">
        <v>7.2</v>
      </c>
      <c r="B128">
        <v>3.2</v>
      </c>
      <c r="C128">
        <v>6</v>
      </c>
      <c r="D128">
        <v>1.8</v>
      </c>
      <c r="E128" t="s">
        <v>60</v>
      </c>
      <c r="G128">
        <v>3</v>
      </c>
    </row>
    <row r="129" spans="1:7" x14ac:dyDescent="0.55000000000000004">
      <c r="A129">
        <v>6.2</v>
      </c>
      <c r="B129">
        <v>2.8</v>
      </c>
      <c r="C129">
        <v>4.8</v>
      </c>
      <c r="D129">
        <v>1.8</v>
      </c>
      <c r="E129" t="s">
        <v>60</v>
      </c>
      <c r="G129">
        <v>1</v>
      </c>
    </row>
    <row r="130" spans="1:7" x14ac:dyDescent="0.55000000000000004">
      <c r="A130">
        <v>6.1</v>
      </c>
      <c r="B130">
        <v>3</v>
      </c>
      <c r="C130">
        <v>4.9000000000000004</v>
      </c>
      <c r="D130">
        <v>1.8</v>
      </c>
      <c r="E130" t="s">
        <v>60</v>
      </c>
      <c r="G130">
        <v>1</v>
      </c>
    </row>
    <row r="131" spans="1:7" x14ac:dyDescent="0.55000000000000004">
      <c r="A131">
        <v>6.4</v>
      </c>
      <c r="B131">
        <v>2.8</v>
      </c>
      <c r="C131">
        <v>5.6</v>
      </c>
      <c r="D131">
        <v>2.1</v>
      </c>
      <c r="E131" t="s">
        <v>60</v>
      </c>
      <c r="G131">
        <v>3</v>
      </c>
    </row>
    <row r="132" spans="1:7" x14ac:dyDescent="0.55000000000000004">
      <c r="A132">
        <v>7.2</v>
      </c>
      <c r="B132">
        <v>3</v>
      </c>
      <c r="C132">
        <v>5.8</v>
      </c>
      <c r="D132">
        <v>1.6</v>
      </c>
      <c r="E132" t="s">
        <v>60</v>
      </c>
      <c r="G132">
        <v>3</v>
      </c>
    </row>
    <row r="133" spans="1:7" x14ac:dyDescent="0.55000000000000004">
      <c r="A133">
        <v>7.4</v>
      </c>
      <c r="B133">
        <v>2.8</v>
      </c>
      <c r="C133">
        <v>6.1</v>
      </c>
      <c r="D133">
        <v>1.9</v>
      </c>
      <c r="E133" t="s">
        <v>60</v>
      </c>
      <c r="G133">
        <v>3</v>
      </c>
    </row>
    <row r="134" spans="1:7" x14ac:dyDescent="0.55000000000000004">
      <c r="A134">
        <v>7.9</v>
      </c>
      <c r="B134">
        <v>3.8</v>
      </c>
      <c r="C134">
        <v>6.4</v>
      </c>
      <c r="D134">
        <v>2</v>
      </c>
      <c r="E134" t="s">
        <v>60</v>
      </c>
      <c r="G134">
        <v>3</v>
      </c>
    </row>
    <row r="135" spans="1:7" x14ac:dyDescent="0.55000000000000004">
      <c r="A135">
        <v>6.4</v>
      </c>
      <c r="B135">
        <v>2.8</v>
      </c>
      <c r="C135">
        <v>5.6</v>
      </c>
      <c r="D135">
        <v>2.2000000000000002</v>
      </c>
      <c r="E135" t="s">
        <v>60</v>
      </c>
      <c r="G135">
        <v>3</v>
      </c>
    </row>
    <row r="136" spans="1:7" x14ac:dyDescent="0.55000000000000004">
      <c r="A136">
        <v>6.3</v>
      </c>
      <c r="B136">
        <v>2.8</v>
      </c>
      <c r="C136">
        <v>5.0999999999999996</v>
      </c>
      <c r="D136">
        <v>1.5</v>
      </c>
      <c r="E136" t="s">
        <v>60</v>
      </c>
      <c r="G136">
        <v>1</v>
      </c>
    </row>
    <row r="137" spans="1:7" x14ac:dyDescent="0.55000000000000004">
      <c r="A137">
        <v>6.1</v>
      </c>
      <c r="B137">
        <v>2.6</v>
      </c>
      <c r="C137">
        <v>5.6</v>
      </c>
      <c r="D137">
        <v>1.4</v>
      </c>
      <c r="E137" t="s">
        <v>60</v>
      </c>
      <c r="G137">
        <v>3</v>
      </c>
    </row>
    <row r="138" spans="1:7" x14ac:dyDescent="0.55000000000000004">
      <c r="A138">
        <v>7.7</v>
      </c>
      <c r="B138">
        <v>3</v>
      </c>
      <c r="C138">
        <v>6.1</v>
      </c>
      <c r="D138">
        <v>2.2999999999999998</v>
      </c>
      <c r="E138" t="s">
        <v>60</v>
      </c>
      <c r="G138">
        <v>3</v>
      </c>
    </row>
    <row r="139" spans="1:7" x14ac:dyDescent="0.55000000000000004">
      <c r="A139">
        <v>6.3</v>
      </c>
      <c r="B139">
        <v>3.4</v>
      </c>
      <c r="C139">
        <v>5.6</v>
      </c>
      <c r="D139">
        <v>2.4</v>
      </c>
      <c r="E139" t="s">
        <v>60</v>
      </c>
      <c r="G139">
        <v>3</v>
      </c>
    </row>
    <row r="140" spans="1:7" x14ac:dyDescent="0.55000000000000004">
      <c r="A140">
        <v>6.4</v>
      </c>
      <c r="B140">
        <v>3.1</v>
      </c>
      <c r="C140">
        <v>5.5</v>
      </c>
      <c r="D140">
        <v>1.8</v>
      </c>
      <c r="E140" t="s">
        <v>60</v>
      </c>
      <c r="G140">
        <v>3</v>
      </c>
    </row>
    <row r="141" spans="1:7" x14ac:dyDescent="0.55000000000000004">
      <c r="A141">
        <v>6</v>
      </c>
      <c r="B141">
        <v>3</v>
      </c>
      <c r="C141">
        <v>4.8</v>
      </c>
      <c r="D141">
        <v>1.8</v>
      </c>
      <c r="E141" t="s">
        <v>60</v>
      </c>
      <c r="G141">
        <v>1</v>
      </c>
    </row>
    <row r="142" spans="1:7" x14ac:dyDescent="0.55000000000000004">
      <c r="A142">
        <v>6.9</v>
      </c>
      <c r="B142">
        <v>3.1</v>
      </c>
      <c r="C142">
        <v>5.4</v>
      </c>
      <c r="D142">
        <v>2.1</v>
      </c>
      <c r="E142" t="s">
        <v>60</v>
      </c>
      <c r="G142">
        <v>3</v>
      </c>
    </row>
    <row r="143" spans="1:7" x14ac:dyDescent="0.55000000000000004">
      <c r="A143">
        <v>6.7</v>
      </c>
      <c r="B143">
        <v>3.1</v>
      </c>
      <c r="C143">
        <v>5.6</v>
      </c>
      <c r="D143">
        <v>2.4</v>
      </c>
      <c r="E143" t="s">
        <v>60</v>
      </c>
      <c r="G143">
        <v>3</v>
      </c>
    </row>
    <row r="144" spans="1:7" x14ac:dyDescent="0.55000000000000004">
      <c r="A144">
        <v>6.9</v>
      </c>
      <c r="B144">
        <v>3.1</v>
      </c>
      <c r="C144">
        <v>5.0999999999999996</v>
      </c>
      <c r="D144">
        <v>2.2999999999999998</v>
      </c>
      <c r="E144" t="s">
        <v>60</v>
      </c>
      <c r="G144">
        <v>3</v>
      </c>
    </row>
    <row r="145" spans="1:7" x14ac:dyDescent="0.55000000000000004">
      <c r="A145">
        <v>5.8</v>
      </c>
      <c r="B145">
        <v>2.7</v>
      </c>
      <c r="C145">
        <v>5.0999999999999996</v>
      </c>
      <c r="D145">
        <v>1.9</v>
      </c>
      <c r="E145" t="s">
        <v>60</v>
      </c>
      <c r="G145">
        <v>1</v>
      </c>
    </row>
    <row r="146" spans="1:7" x14ac:dyDescent="0.55000000000000004">
      <c r="A146">
        <v>6.8</v>
      </c>
      <c r="B146">
        <v>3.2</v>
      </c>
      <c r="C146">
        <v>5.9</v>
      </c>
      <c r="D146">
        <v>2.2999999999999998</v>
      </c>
      <c r="E146" t="s">
        <v>60</v>
      </c>
      <c r="G146">
        <v>3</v>
      </c>
    </row>
    <row r="147" spans="1:7" x14ac:dyDescent="0.55000000000000004">
      <c r="A147">
        <v>6.7</v>
      </c>
      <c r="B147">
        <v>3.3</v>
      </c>
      <c r="C147">
        <v>5.7</v>
      </c>
      <c r="D147">
        <v>2.5</v>
      </c>
      <c r="E147" t="s">
        <v>60</v>
      </c>
      <c r="G147">
        <v>3</v>
      </c>
    </row>
    <row r="148" spans="1:7" x14ac:dyDescent="0.55000000000000004">
      <c r="A148">
        <v>6.7</v>
      </c>
      <c r="B148">
        <v>3</v>
      </c>
      <c r="C148">
        <v>5.2</v>
      </c>
      <c r="D148">
        <v>2.2999999999999998</v>
      </c>
      <c r="E148" t="s">
        <v>60</v>
      </c>
      <c r="G148">
        <v>3</v>
      </c>
    </row>
    <row r="149" spans="1:7" x14ac:dyDescent="0.55000000000000004">
      <c r="A149">
        <v>6.3</v>
      </c>
      <c r="B149">
        <v>2.5</v>
      </c>
      <c r="C149">
        <v>5</v>
      </c>
      <c r="D149">
        <v>1.9</v>
      </c>
      <c r="E149" t="s">
        <v>60</v>
      </c>
      <c r="G149">
        <v>1</v>
      </c>
    </row>
    <row r="150" spans="1:7" x14ac:dyDescent="0.55000000000000004">
      <c r="A150">
        <v>6.5</v>
      </c>
      <c r="B150">
        <v>3</v>
      </c>
      <c r="C150">
        <v>5.2</v>
      </c>
      <c r="D150">
        <v>2</v>
      </c>
      <c r="E150" t="s">
        <v>60</v>
      </c>
      <c r="G150">
        <v>3</v>
      </c>
    </row>
    <row r="151" spans="1:7" x14ac:dyDescent="0.55000000000000004">
      <c r="A151">
        <v>6.2</v>
      </c>
      <c r="B151">
        <v>3.4</v>
      </c>
      <c r="C151">
        <v>5.4</v>
      </c>
      <c r="D151">
        <v>2.2999999999999998</v>
      </c>
      <c r="E151" t="s">
        <v>60</v>
      </c>
      <c r="G151">
        <v>3</v>
      </c>
    </row>
    <row r="152" spans="1:7" x14ac:dyDescent="0.55000000000000004">
      <c r="A152">
        <v>5.9</v>
      </c>
      <c r="B152">
        <v>3</v>
      </c>
      <c r="C152">
        <v>5.0999999999999996</v>
      </c>
      <c r="D152">
        <v>1.8</v>
      </c>
      <c r="E152" t="s">
        <v>60</v>
      </c>
      <c r="G15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28E4B-5BE9-40EA-BD83-24E60213F6D5}">
  <dimension ref="A1:J32"/>
  <sheetViews>
    <sheetView tabSelected="1" topLeftCell="A7" workbookViewId="0">
      <selection activeCell="G16" sqref="G16"/>
    </sheetView>
  </sheetViews>
  <sheetFormatPr baseColWidth="10" defaultRowHeight="14.4" x14ac:dyDescent="0.55000000000000004"/>
  <cols>
    <col min="1" max="1" width="35.9453125" customWidth="1"/>
    <col min="6" max="6" width="29.41796875" bestFit="1" customWidth="1"/>
    <col min="7" max="7" width="13.7890625" customWidth="1"/>
    <col min="9" max="9" width="18.41796875" customWidth="1"/>
    <col min="10" max="10" width="30.68359375" bestFit="1" customWidth="1"/>
  </cols>
  <sheetData>
    <row r="1" spans="1:10" x14ac:dyDescent="0.55000000000000004">
      <c r="B1" s="30" t="s">
        <v>76</v>
      </c>
      <c r="C1" s="30"/>
    </row>
    <row r="2" spans="1:10" ht="17.399999999999999" x14ac:dyDescent="0.55000000000000004">
      <c r="B2" s="38" t="s">
        <v>78</v>
      </c>
      <c r="C2" s="39"/>
      <c r="D2" s="9" t="s">
        <v>77</v>
      </c>
      <c r="F2" s="4"/>
      <c r="G2" s="22" t="s">
        <v>7</v>
      </c>
      <c r="I2" s="22" t="s">
        <v>29</v>
      </c>
      <c r="J2" s="40">
        <v>0.01</v>
      </c>
    </row>
    <row r="3" spans="1:10" ht="17.399999999999999" x14ac:dyDescent="0.55000000000000004">
      <c r="B3" s="32">
        <v>4</v>
      </c>
      <c r="C3" s="33">
        <v>1</v>
      </c>
      <c r="D3" s="36">
        <v>1</v>
      </c>
      <c r="F3" s="41" t="s">
        <v>85</v>
      </c>
      <c r="G3" s="42">
        <v>0</v>
      </c>
      <c r="I3" s="22" t="s">
        <v>86</v>
      </c>
      <c r="J3" s="40">
        <v>1000</v>
      </c>
    </row>
    <row r="4" spans="1:10" ht="17.399999999999999" x14ac:dyDescent="0.55000000000000004">
      <c r="B4" s="34">
        <v>1</v>
      </c>
      <c r="C4" s="35">
        <v>3</v>
      </c>
      <c r="D4" s="37">
        <v>2</v>
      </c>
      <c r="F4" s="41" t="s">
        <v>79</v>
      </c>
      <c r="G4" s="42">
        <v>1</v>
      </c>
      <c r="I4" s="22" t="s">
        <v>89</v>
      </c>
      <c r="J4" s="40">
        <v>0</v>
      </c>
    </row>
    <row r="5" spans="1:10" x14ac:dyDescent="0.55000000000000004">
      <c r="F5" s="41" t="s">
        <v>80</v>
      </c>
      <c r="G5" s="42">
        <v>2</v>
      </c>
    </row>
    <row r="6" spans="1:10" ht="17.399999999999999" x14ac:dyDescent="0.55000000000000004">
      <c r="A6" s="22" t="str">
        <f>F4</f>
        <v>Descenso Gradiente</v>
      </c>
      <c r="F6" s="41" t="s">
        <v>81</v>
      </c>
      <c r="G6" s="42">
        <v>3</v>
      </c>
    </row>
    <row r="7" spans="1:10" ht="34.799999999999997" x14ac:dyDescent="0.55000000000000004">
      <c r="B7" s="13" cm="1">
        <f t="array" ref="B7:B8">_xll.J.Optimizar($B$3:$C$4,$D$3:$D$4,$J$2,$J$3,$G$4)</f>
        <v>9.0909093105688843E-2</v>
      </c>
      <c r="F7" s="41" t="s">
        <v>82</v>
      </c>
      <c r="G7" s="42">
        <v>4</v>
      </c>
      <c r="I7" s="22" t="str">
        <f>F3</f>
        <v>Lista de Procedimientos</v>
      </c>
    </row>
    <row r="8" spans="1:10" x14ac:dyDescent="0.55000000000000004">
      <c r="B8" s="13">
        <v>0.63636363280946606</v>
      </c>
      <c r="F8" s="41" t="s">
        <v>83</v>
      </c>
      <c r="G8" s="42">
        <v>5</v>
      </c>
      <c r="J8" s="13" t="str" cm="1">
        <f t="array" ref="J8:J14">_xll.J.Optimizar($B$3:$C$4,$D$3:$D$4,$J$2,1000,$G$3)</f>
        <v>[01] Descenso Gradiente</v>
      </c>
    </row>
    <row r="9" spans="1:10" x14ac:dyDescent="0.55000000000000004">
      <c r="F9" s="41" t="s">
        <v>87</v>
      </c>
      <c r="G9" s="42">
        <v>6</v>
      </c>
      <c r="J9" s="13" t="str">
        <v>[02] Gradiente con Momentum</v>
      </c>
    </row>
    <row r="10" spans="1:10" ht="17.399999999999999" x14ac:dyDescent="0.55000000000000004">
      <c r="A10" s="22" t="str">
        <f>F5</f>
        <v>Gradiente con Momentum</v>
      </c>
      <c r="F10" s="41" t="s">
        <v>84</v>
      </c>
      <c r="G10" s="42">
        <v>7</v>
      </c>
      <c r="J10" s="13" t="str">
        <v>[03] Metodo Newton</v>
      </c>
    </row>
    <row r="11" spans="1:10" x14ac:dyDescent="0.55000000000000004">
      <c r="B11" s="13" cm="1">
        <f t="array" ref="B11:B12">_xll.J.Optimizar($B$3:$C$4,$D$3:$D$4,$J$2,$J$3,$G$5)</f>
        <v>9.090909209766411E-2</v>
      </c>
      <c r="J11" s="13" t="str">
        <v>[04] Seccion Aurea 1D</v>
      </c>
    </row>
    <row r="12" spans="1:10" x14ac:dyDescent="0.55000000000000004">
      <c r="B12" s="13">
        <v>0.63636363345053193</v>
      </c>
      <c r="J12" s="13" t="str">
        <v>[05] Simplex (Prog. Lineal)</v>
      </c>
    </row>
    <row r="13" spans="1:10" x14ac:dyDescent="0.55000000000000004">
      <c r="J13" s="13" t="str">
        <v>[06] Minimos Cuadrados No-Negativos</v>
      </c>
    </row>
    <row r="14" spans="1:10" ht="17.399999999999999" x14ac:dyDescent="0.55000000000000004">
      <c r="A14" s="22" t="str">
        <f>F6</f>
        <v>Metodo Newton</v>
      </c>
      <c r="J14" s="13" t="str">
        <v>[07] Prog. Cuadratica</v>
      </c>
    </row>
    <row r="15" spans="1:10" x14ac:dyDescent="0.55000000000000004">
      <c r="B15" s="13" cm="1">
        <f t="array" ref="B15:B16">_xll.J.Optimizar($B$3:$C$4,$D$3:$D$4,$J$2,$J$3,$G$6)</f>
        <v>9.0909090909090912E-2</v>
      </c>
    </row>
    <row r="16" spans="1:10" x14ac:dyDescent="0.55000000000000004">
      <c r="B16" s="13">
        <v>0.63636363636363635</v>
      </c>
    </row>
    <row r="18" spans="1:10" ht="17.399999999999999" x14ac:dyDescent="0.55000000000000004">
      <c r="A18" s="22" t="str">
        <f>F7</f>
        <v>Seccion Aurea 1D</v>
      </c>
    </row>
    <row r="19" spans="1:10" x14ac:dyDescent="0.55000000000000004">
      <c r="B19" s="13" cm="1">
        <f t="array" ref="B19">_xll.J.Optimizar($B$3:$C$4,$D$3:$D$4,$J$2,$J$3,$G$7)</f>
        <v>1.0046584300227126</v>
      </c>
      <c r="C19" t="s">
        <v>90</v>
      </c>
    </row>
    <row r="20" spans="1:10" x14ac:dyDescent="0.55000000000000004">
      <c r="B20" s="28"/>
    </row>
    <row r="21" spans="1:10" ht="14.7" thickBot="1" x14ac:dyDescent="0.6">
      <c r="B21" s="28"/>
    </row>
    <row r="22" spans="1:10" ht="17.7" thickBot="1" x14ac:dyDescent="0.6">
      <c r="A22" s="22" t="str">
        <f>F8</f>
        <v>Simplex (Prog. Lineal)</v>
      </c>
      <c r="G22" s="45" t="s">
        <v>78</v>
      </c>
      <c r="H22" s="46" t="s">
        <v>77</v>
      </c>
      <c r="I22" s="46" t="s">
        <v>91</v>
      </c>
      <c r="J22" s="47" t="s">
        <v>92</v>
      </c>
    </row>
    <row r="23" spans="1:10" x14ac:dyDescent="0.55000000000000004">
      <c r="B23" s="48" cm="1">
        <f t="array" ref="B23:B24">_xll.J.Optimizar($G$23:$I$24,$J$23:$J$24,$J$4,$J$3,$G$8)</f>
        <v>3</v>
      </c>
      <c r="G23" s="43">
        <v>6</v>
      </c>
      <c r="H23" s="43">
        <v>4</v>
      </c>
      <c r="I23" s="43">
        <v>24</v>
      </c>
      <c r="J23" s="43">
        <v>5</v>
      </c>
    </row>
    <row r="24" spans="1:10" ht="14.7" thickBot="1" x14ac:dyDescent="0.6">
      <c r="B24" s="49">
        <v>1.4999999999999998</v>
      </c>
      <c r="G24" s="44">
        <v>1</v>
      </c>
      <c r="H24" s="44">
        <v>2</v>
      </c>
      <c r="I24" s="44">
        <v>6</v>
      </c>
      <c r="J24" s="44">
        <v>4</v>
      </c>
    </row>
    <row r="26" spans="1:10" ht="17.399999999999999" x14ac:dyDescent="0.55000000000000004">
      <c r="A26" s="22" t="str">
        <f>F9</f>
        <v xml:space="preserve">Minimos Cuadrados No Negativos </v>
      </c>
    </row>
    <row r="27" spans="1:10" x14ac:dyDescent="0.55000000000000004">
      <c r="B27" s="13" cm="1">
        <f t="array" ref="B27:B28">_xll.J.Optimizar($B$3:$C$4,$D$3:$D$4,$J$2,$J$3,$G$9)</f>
        <v>9.090909178273858E-2</v>
      </c>
      <c r="C27" t="s">
        <v>88</v>
      </c>
    </row>
    <row r="28" spans="1:10" x14ac:dyDescent="0.55000000000000004">
      <c r="B28" s="13">
        <v>0.63636363495004467</v>
      </c>
    </row>
    <row r="30" spans="1:10" ht="17.399999999999999" x14ac:dyDescent="0.55000000000000004">
      <c r="A30" s="22" t="str">
        <f>F10</f>
        <v>Programación Cuadrática</v>
      </c>
    </row>
    <row r="31" spans="1:10" x14ac:dyDescent="0.55000000000000004">
      <c r="B31" s="13" cm="1">
        <f t="array" ref="B31:B32">_xll.J.Optimizar($B$3:$C$4,$D$3:$D$4,$J$2,$J$3,$G$10)</f>
        <v>0</v>
      </c>
    </row>
    <row r="32" spans="1:10" x14ac:dyDescent="0.55000000000000004">
      <c r="B32" s="13">
        <v>0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1.1 Utilidades</vt:lpstr>
      <vt:lpstr>1.2 Algebra lineal</vt:lpstr>
      <vt:lpstr>1.3 Cálculo numérico</vt:lpstr>
      <vt:lpstr>1.4 Ecuaciones diferenciales</vt:lpstr>
      <vt:lpstr>1.5 Estadística Descriptiva</vt:lpstr>
      <vt:lpstr>1.6 KNN</vt:lpstr>
      <vt:lpstr>1.7 K-Medias</vt:lpstr>
      <vt:lpstr>1.8 Optimización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Minor Bonilla</dc:creator>
  <cp:lastModifiedBy>Minor Bonilla</cp:lastModifiedBy>
  <dcterms:created xsi:type="dcterms:W3CDTF">2026-04-27T17:04:31Z</dcterms:created>
  <dcterms:modified xsi:type="dcterms:W3CDTF">2026-04-29T02:32:25Z</dcterms:modified>
</cp:coreProperties>
</file>