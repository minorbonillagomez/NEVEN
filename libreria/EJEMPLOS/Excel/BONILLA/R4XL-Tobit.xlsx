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R4XCL\LIBRERIA\EJEMPLOS EN EXCEL\BONILLA\"/>
    </mc:Choice>
  </mc:AlternateContent>
  <xr:revisionPtr revIDLastSave="0" documentId="13_ncr:1_{1B654DDD-D34D-4D70-85DA-F9AC705AC788}" xr6:coauthVersionLast="47" xr6:coauthVersionMax="47" xr10:uidLastSave="{00000000-0000-0000-0000-000000000000}"/>
  <bookViews>
    <workbookView xWindow="-5535" yWindow="-16297" windowWidth="28995" windowHeight="15675" xr2:uid="{8A39F116-8A36-4A9A-AFB7-A77C5A71B974}"/>
  </bookViews>
  <sheets>
    <sheet name="TOBIT" sheetId="1" r:id="rId1"/>
    <sheet name="DATOS" sheetId="2" r:id="rId2"/>
  </sheets>
  <externalReferences>
    <externalReference r:id="rId3"/>
    <externalReference r:id="rId4"/>
  </externalReferences>
  <definedNames>
    <definedName name="ACP_OUT_01">#REF!</definedName>
    <definedName name="ACP_OUT_02">#REF!</definedName>
    <definedName name="ACP_OUT_03">#REF!</definedName>
    <definedName name="ACP_OUT_04">#REF!</definedName>
    <definedName name="ACP_OUT_05">#REF!</definedName>
    <definedName name="ACP_OUT_06">#REF!</definedName>
    <definedName name="BINOMIAL_OUT_01">#REF!</definedName>
    <definedName name="CC">[1]TEMA002_ACP_DS!$M$12:$O$14</definedName>
    <definedName name="CC.inv">[1]TEMA002_ACP_DS!$M$16:$O$18</definedName>
    <definedName name="D">[1]TEMA002_ACP_DS!$I$3:$K$102</definedName>
    <definedName name="Lookup">'[2]Cluster SLVR'!$A$15:$J$64</definedName>
    <definedName name="n">[1]TEMA002_ACP_DS!$F$9</definedName>
    <definedName name="nUSarrest">#REF!</definedName>
    <definedName name="USArrest">#REF!</definedName>
    <definedName name="VarCov">[1]TEMA002_ACP_DS!$M$7:$O$9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3" i="2" l="1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7" i="2"/>
  <c r="E1" i="1" a="1"/>
  <c r="E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<sst xmlns="http://schemas.openxmlformats.org/spreadsheetml/2006/main" count="218" uniqueCount="15">
  <si>
    <t>general</t>
  </si>
  <si>
    <t>vocational</t>
  </si>
  <si>
    <t>academic</t>
  </si>
  <si>
    <t>Tipo de Output</t>
  </si>
  <si>
    <t>Umbral de Truncamiento</t>
  </si>
  <si>
    <t>Direccion de Truncamiento</t>
  </si>
  <si>
    <t>Categorica</t>
  </si>
  <si>
    <t>Filtro</t>
  </si>
  <si>
    <t>apt</t>
  </si>
  <si>
    <t>prog</t>
  </si>
  <si>
    <t>math</t>
  </si>
  <si>
    <t>read</t>
  </si>
  <si>
    <t>id</t>
  </si>
  <si>
    <t>proggeneral</t>
  </si>
  <si>
    <t>progvocational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</si>
</sst>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nsolas"/>
      <family val="3"/>
    </font>
    <font>
      <sz val="11"/>
      <color theme="1"/>
      <name val="Courier New"/>
      <family val="3"/>
    </font>
    <font>
      <sz val="11"/>
      <color theme="4" tint="-0.249977111117893"/>
      <name val="Aptos Narrow"/>
      <family val="2"/>
      <scheme val="minor"/>
    </font>
    <font>
      <b/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ill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3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6" fillId="0" borderId="0" xfId="0" quotePrefix="1" applyFont="1"/>
    <xf numFmtId="0" fontId="0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AD\2020\ESP\FINANZAS%20NO%20FINANCIEROS\CL002\TEMA002_ACP_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AD\2020\ESP\CLASES\GEN02\0001\TEMA001_Kmed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A002_ACP_DS"/>
      <sheetName val="USArrest"/>
      <sheetName val="ACP"/>
      <sheetName val="AMBOS PLANOS"/>
      <sheetName val="MATRIZ"/>
    </sheetNames>
    <sheetDataSet>
      <sheetData sheetId="0">
        <row r="3">
          <cell r="I3">
            <v>0.26358272556401252</v>
          </cell>
          <cell r="J3">
            <v>0.71477442964073079</v>
          </cell>
          <cell r="K3">
            <v>2.377194201995386</v>
          </cell>
        </row>
        <row r="4">
          <cell r="I4">
            <v>-0.76001576709121954</v>
          </cell>
          <cell r="J4">
            <v>-0.58581817639194922</v>
          </cell>
          <cell r="K4">
            <v>-2.9583116713757205</v>
          </cell>
        </row>
        <row r="5">
          <cell r="I5">
            <v>4.348660550266531E-3</v>
          </cell>
          <cell r="J5">
            <v>-0.34363363072505915</v>
          </cell>
          <cell r="K5">
            <v>-2.777301878198541</v>
          </cell>
        </row>
        <row r="6">
          <cell r="I6">
            <v>1.6541276032373564</v>
          </cell>
          <cell r="J6">
            <v>-1.5798590695731831</v>
          </cell>
          <cell r="K6">
            <v>1.5245762601708652</v>
          </cell>
        </row>
        <row r="7">
          <cell r="I7">
            <v>-0.98534678637283746</v>
          </cell>
          <cell r="J7">
            <v>-0.5700870013004391</v>
          </cell>
          <cell r="K7">
            <v>-4.4020669785806987E-3</v>
          </cell>
          <cell r="M7">
            <v>1.5402719626006163</v>
          </cell>
          <cell r="N7">
            <v>-1.0682326491227214</v>
          </cell>
          <cell r="O7">
            <v>4.6114608305258514E-2</v>
          </cell>
        </row>
        <row r="8">
          <cell r="I8">
            <v>-1.1429956658710074</v>
          </cell>
          <cell r="J8">
            <v>-0.49914141074811913</v>
          </cell>
          <cell r="K8">
            <v>1.6527970196236552</v>
          </cell>
          <cell r="M8">
            <v>-1.0682326491227214</v>
          </cell>
          <cell r="N8">
            <v>2.2215449677499874</v>
          </cell>
          <cell r="O8">
            <v>0.50936025334248536</v>
          </cell>
        </row>
        <row r="9">
          <cell r="F9">
            <v>100</v>
          </cell>
          <cell r="I9">
            <v>2.0898711277247664</v>
          </cell>
          <cell r="J9">
            <v>-2.8501361438160413</v>
          </cell>
          <cell r="K9">
            <v>0.81293690928662921</v>
          </cell>
          <cell r="M9">
            <v>4.6114608305258514E-2</v>
          </cell>
          <cell r="N9">
            <v>0.50936025334248536</v>
          </cell>
          <cell r="O9">
            <v>2.879812124281941</v>
          </cell>
        </row>
        <row r="10">
          <cell r="I10">
            <v>1.8555267695174567</v>
          </cell>
          <cell r="J10">
            <v>-2.7147556633394303</v>
          </cell>
          <cell r="K10">
            <v>-0.40319154981770078</v>
          </cell>
        </row>
        <row r="11">
          <cell r="I11">
            <v>-0.77132257763273848</v>
          </cell>
          <cell r="J11">
            <v>1.2963270339930308</v>
          </cell>
          <cell r="K11">
            <v>2.0481349097798622</v>
          </cell>
        </row>
        <row r="12">
          <cell r="I12">
            <v>5.5919462916795531E-2</v>
          </cell>
          <cell r="J12">
            <v>-1.4771027324132442</v>
          </cell>
          <cell r="K12">
            <v>-1.2031983632394607</v>
          </cell>
          <cell r="M12">
            <v>1.2410769366161858</v>
          </cell>
          <cell r="N12">
            <v>0</v>
          </cell>
          <cell r="O12">
            <v>0</v>
          </cell>
        </row>
        <row r="13">
          <cell r="I13">
            <v>0.80040120890091249</v>
          </cell>
          <cell r="J13">
            <v>-2.4648701789291612</v>
          </cell>
          <cell r="K13">
            <v>-2.0942773061824007</v>
          </cell>
          <cell r="M13">
            <v>0</v>
          </cell>
          <cell r="N13">
            <v>1.4904848096340959</v>
          </cell>
          <cell r="O13">
            <v>0</v>
          </cell>
        </row>
        <row r="14">
          <cell r="I14">
            <v>0.83360912023285638</v>
          </cell>
          <cell r="J14">
            <v>0.38204468578591078</v>
          </cell>
          <cell r="K14">
            <v>0.28438543729697918</v>
          </cell>
          <cell r="M14">
            <v>0</v>
          </cell>
          <cell r="N14">
            <v>0</v>
          </cell>
          <cell r="O14">
            <v>1.69700092053067</v>
          </cell>
        </row>
        <row r="15">
          <cell r="I15">
            <v>-1.1688192647156184</v>
          </cell>
          <cell r="J15">
            <v>1.0202102465185909</v>
          </cell>
          <cell r="K15">
            <v>-3.9611364055454512</v>
          </cell>
        </row>
        <row r="16">
          <cell r="I16">
            <v>5.6434759046035121E-3</v>
          </cell>
          <cell r="J16">
            <v>5.9425225009680727E-2</v>
          </cell>
          <cell r="K16">
            <v>-0.98995404863827074</v>
          </cell>
          <cell r="M16">
            <v>0.80575181964666465</v>
          </cell>
          <cell r="N16">
            <v>0</v>
          </cell>
          <cell r="O16">
            <v>0</v>
          </cell>
        </row>
        <row r="17">
          <cell r="I17">
            <v>-0.10498263546899109</v>
          </cell>
          <cell r="J17">
            <v>1.1520082922604407</v>
          </cell>
          <cell r="K17">
            <v>2.4598884818902551</v>
          </cell>
          <cell r="M17">
            <v>0</v>
          </cell>
          <cell r="N17">
            <v>0.67092263774596494</v>
          </cell>
          <cell r="O17">
            <v>0</v>
          </cell>
        </row>
        <row r="18">
          <cell r="I18">
            <v>-0.39715731506423446</v>
          </cell>
          <cell r="J18">
            <v>-0.13472482629644933</v>
          </cell>
          <cell r="K18">
            <v>-1.5054611766324406</v>
          </cell>
          <cell r="M18">
            <v>0</v>
          </cell>
          <cell r="N18">
            <v>0</v>
          </cell>
          <cell r="O18">
            <v>0.58927487186470673</v>
          </cell>
        </row>
        <row r="19">
          <cell r="I19">
            <v>5.8017347655162532E-2</v>
          </cell>
          <cell r="J19">
            <v>-0.28379653847433906</v>
          </cell>
          <cell r="K19">
            <v>5.2614057016159288E-2</v>
          </cell>
        </row>
        <row r="20">
          <cell r="I20">
            <v>-0.59406062026127349</v>
          </cell>
          <cell r="J20">
            <v>1.8361944041522706</v>
          </cell>
          <cell r="K20">
            <v>-1.2426594271679807</v>
          </cell>
        </row>
        <row r="21">
          <cell r="I21">
            <v>1.4929101333022166</v>
          </cell>
          <cell r="J21">
            <v>-2.584787913538797</v>
          </cell>
          <cell r="K21">
            <v>-1.056565021251521</v>
          </cell>
        </row>
        <row r="22">
          <cell r="I22">
            <v>2.4554692052584963</v>
          </cell>
          <cell r="J22">
            <v>-3.0009293051532562</v>
          </cell>
          <cell r="K22">
            <v>2.1081273660147071</v>
          </cell>
        </row>
        <row r="23">
          <cell r="I23">
            <v>-0.69158669258967753</v>
          </cell>
          <cell r="J23">
            <v>0.78079807769559073</v>
          </cell>
          <cell r="K23">
            <v>-0.39973691569086078</v>
          </cell>
        </row>
        <row r="24">
          <cell r="I24">
            <v>-0.27539648288576346</v>
          </cell>
          <cell r="J24">
            <v>-0.57172053344401919</v>
          </cell>
          <cell r="K24">
            <v>0.8120341167167191</v>
          </cell>
        </row>
        <row r="25">
          <cell r="I25">
            <v>-3.7641153296614493E-2</v>
          </cell>
          <cell r="J25">
            <v>2.5996540744195409</v>
          </cell>
          <cell r="K25">
            <v>1.9183426760636042</v>
          </cell>
        </row>
        <row r="26">
          <cell r="I26">
            <v>-0.48755912767201748</v>
          </cell>
          <cell r="J26">
            <v>-0.17342382398939904</v>
          </cell>
          <cell r="K26">
            <v>0.58885583892701931</v>
          </cell>
        </row>
        <row r="27">
          <cell r="I27">
            <v>0.40828970139903153</v>
          </cell>
          <cell r="J27">
            <v>0.76122843990342082</v>
          </cell>
          <cell r="K27">
            <v>-1.288854310743381</v>
          </cell>
        </row>
        <row r="28">
          <cell r="I28">
            <v>-0.54043355514986646</v>
          </cell>
          <cell r="J28">
            <v>-0.57112940709335924</v>
          </cell>
          <cell r="K28">
            <v>0.24539941343296912</v>
          </cell>
        </row>
        <row r="29">
          <cell r="I29">
            <v>-1.0794004521063505</v>
          </cell>
          <cell r="J29">
            <v>1.284999105063521</v>
          </cell>
          <cell r="K29">
            <v>2.0362428453092871</v>
          </cell>
        </row>
        <row r="30">
          <cell r="I30">
            <v>-0.11134235885598379</v>
          </cell>
          <cell r="J30">
            <v>2.2565856906720905</v>
          </cell>
          <cell r="K30">
            <v>0.15571086472129925</v>
          </cell>
        </row>
        <row r="31">
          <cell r="I31">
            <v>0.63959237222442644</v>
          </cell>
          <cell r="J31">
            <v>1.0498531138098106</v>
          </cell>
          <cell r="K31">
            <v>-1.524182404436361</v>
          </cell>
        </row>
        <row r="32">
          <cell r="I32">
            <v>-0.38806978950688348</v>
          </cell>
          <cell r="J32">
            <v>0.90122198392343078</v>
          </cell>
          <cell r="K32">
            <v>-0.40953029767812099</v>
          </cell>
        </row>
        <row r="33">
          <cell r="I33">
            <v>0.32328827656431947</v>
          </cell>
          <cell r="J33">
            <v>0.37854766726693079</v>
          </cell>
          <cell r="K33">
            <v>-1.4357308669320008</v>
          </cell>
        </row>
        <row r="34">
          <cell r="I34">
            <v>1.4616073035503065</v>
          </cell>
          <cell r="J34">
            <v>-1.2615791133954992</v>
          </cell>
          <cell r="K34">
            <v>0.46036487803867931</v>
          </cell>
        </row>
        <row r="35">
          <cell r="I35">
            <v>2.2320747142405506E-2</v>
          </cell>
          <cell r="J35">
            <v>1.3546334951435108</v>
          </cell>
          <cell r="K35">
            <v>-2.4419842195774004</v>
          </cell>
        </row>
        <row r="36">
          <cell r="I36">
            <v>-8.2359331192135579E-2</v>
          </cell>
          <cell r="J36">
            <v>0.70903084910770087</v>
          </cell>
          <cell r="K36">
            <v>0.10552252453224931</v>
          </cell>
        </row>
        <row r="37">
          <cell r="I37">
            <v>1.0295212836054666</v>
          </cell>
          <cell r="J37">
            <v>-4.3706472012492448E-3</v>
          </cell>
          <cell r="K37">
            <v>1.4248832422193762</v>
          </cell>
        </row>
        <row r="38">
          <cell r="I38">
            <v>-1.1379565819441615</v>
          </cell>
          <cell r="J38">
            <v>1.1373501152924907</v>
          </cell>
          <cell r="K38">
            <v>1.2993481421479132</v>
          </cell>
        </row>
        <row r="39">
          <cell r="I39">
            <v>1.4039482906505196E-3</v>
          </cell>
          <cell r="J39">
            <v>-0.18862339037963904</v>
          </cell>
          <cell r="K39">
            <v>1.3260264930826851</v>
          </cell>
        </row>
        <row r="40">
          <cell r="I40">
            <v>-0.73884590783691251</v>
          </cell>
          <cell r="J40">
            <v>2.4820888695394308</v>
          </cell>
          <cell r="K40">
            <v>-2.6804861490260734E-2</v>
          </cell>
        </row>
        <row r="41">
          <cell r="I41">
            <v>-1.4231459867126235</v>
          </cell>
          <cell r="J41">
            <v>-5.5646284972379334E-2</v>
          </cell>
          <cell r="K41">
            <v>0.40344099797601918</v>
          </cell>
        </row>
        <row r="42">
          <cell r="I42">
            <v>1.0323526350795864</v>
          </cell>
          <cell r="J42">
            <v>-1.9528364314744902</v>
          </cell>
          <cell r="K42">
            <v>6.4419629152369096E-2</v>
          </cell>
        </row>
        <row r="43">
          <cell r="I43">
            <v>1.3578913356299265</v>
          </cell>
          <cell r="J43">
            <v>0.55526039521230075</v>
          </cell>
          <cell r="K43">
            <v>0.8113630270778891</v>
          </cell>
        </row>
        <row r="44">
          <cell r="I44">
            <v>-0.4044975294836225</v>
          </cell>
          <cell r="J44">
            <v>1.2919185511259408</v>
          </cell>
          <cell r="K44">
            <v>-1.9530163177679207</v>
          </cell>
        </row>
        <row r="45">
          <cell r="I45">
            <v>-1.4167882673018835</v>
          </cell>
          <cell r="J45">
            <v>0.14478614687275071</v>
          </cell>
          <cell r="K45">
            <v>0.92881392355443826</v>
          </cell>
        </row>
        <row r="46">
          <cell r="I46">
            <v>2.2113639992369767</v>
          </cell>
          <cell r="J46">
            <v>-1.1761356734904491</v>
          </cell>
          <cell r="K46">
            <v>1.8825461416835108</v>
          </cell>
        </row>
        <row r="47">
          <cell r="I47">
            <v>-1.3462734929894635</v>
          </cell>
          <cell r="J47">
            <v>2.657633263481431</v>
          </cell>
          <cell r="K47">
            <v>0.72762808115757927</v>
          </cell>
        </row>
        <row r="48">
          <cell r="I48">
            <v>-0.18685059633078677</v>
          </cell>
          <cell r="J48">
            <v>-0.77331313740840923</v>
          </cell>
          <cell r="K48">
            <v>-1.0349157127097506</v>
          </cell>
        </row>
        <row r="49">
          <cell r="I49">
            <v>-0.72113984218924854</v>
          </cell>
          <cell r="J49">
            <v>-0.73323502926777917</v>
          </cell>
          <cell r="K49">
            <v>0.66248256232111924</v>
          </cell>
        </row>
        <row r="50">
          <cell r="I50">
            <v>2.0076452481914666</v>
          </cell>
          <cell r="J50">
            <v>0.41247199441745064</v>
          </cell>
          <cell r="K50">
            <v>0.63644070443348921</v>
          </cell>
        </row>
        <row r="51">
          <cell r="I51">
            <v>0.21570080953443152</v>
          </cell>
          <cell r="J51">
            <v>2.0919588369350111</v>
          </cell>
          <cell r="K51">
            <v>5.2747332133709302E-2</v>
          </cell>
        </row>
        <row r="52">
          <cell r="I52">
            <v>1.0617699072586766</v>
          </cell>
          <cell r="J52">
            <v>-0.82803868556274929</v>
          </cell>
          <cell r="K52">
            <v>-1.1652315577508308</v>
          </cell>
        </row>
        <row r="53">
          <cell r="I53">
            <v>-0.52995271653686249</v>
          </cell>
          <cell r="J53">
            <v>1.2081844738427008</v>
          </cell>
          <cell r="K53">
            <v>2.1102226547449932</v>
          </cell>
        </row>
        <row r="54">
          <cell r="I54">
            <v>0.13129779321652155</v>
          </cell>
          <cell r="J54">
            <v>-0.46813064737004928</v>
          </cell>
          <cell r="K54">
            <v>0.29433804934272922</v>
          </cell>
        </row>
        <row r="55">
          <cell r="I55">
            <v>0.22003435699888854</v>
          </cell>
          <cell r="J55">
            <v>-0.88542150358616922</v>
          </cell>
          <cell r="K55">
            <v>2.3257249238535174</v>
          </cell>
        </row>
        <row r="56">
          <cell r="I56">
            <v>-2.0287018018291834</v>
          </cell>
          <cell r="J56">
            <v>1.3174093912216907</v>
          </cell>
          <cell r="K56">
            <v>2.4500780284433543</v>
          </cell>
        </row>
        <row r="57">
          <cell r="I57">
            <v>-0.24892575462196148</v>
          </cell>
          <cell r="J57">
            <v>-1.5001043055026761</v>
          </cell>
          <cell r="K57">
            <v>-0.58310130653573067</v>
          </cell>
        </row>
        <row r="58">
          <cell r="I58">
            <v>-9.1456448699346979E-2</v>
          </cell>
          <cell r="J58">
            <v>0.67627413977167095</v>
          </cell>
          <cell r="K58">
            <v>-0.71872039876813076</v>
          </cell>
        </row>
        <row r="59">
          <cell r="I59">
            <v>-2.1636105399974035</v>
          </cell>
          <cell r="J59">
            <v>1.9485517085108208</v>
          </cell>
          <cell r="K59">
            <v>1.1259769495833591</v>
          </cell>
        </row>
        <row r="60">
          <cell r="I60">
            <v>0.14598728894337051</v>
          </cell>
          <cell r="J60">
            <v>1.5609712137684406</v>
          </cell>
          <cell r="K60">
            <v>1.1938978254812471</v>
          </cell>
        </row>
        <row r="61">
          <cell r="I61">
            <v>0.45648189614158852</v>
          </cell>
          <cell r="J61">
            <v>-0.78033059401007909</v>
          </cell>
          <cell r="K61">
            <v>-1.791197225431751</v>
          </cell>
        </row>
        <row r="62">
          <cell r="I62">
            <v>2.3861106050706664</v>
          </cell>
          <cell r="J62">
            <v>-1.2022897958056291</v>
          </cell>
          <cell r="K62">
            <v>1.9462187000408639</v>
          </cell>
        </row>
        <row r="63">
          <cell r="I63">
            <v>-1.5271243994826935</v>
          </cell>
          <cell r="J63">
            <v>0.95546151039201099</v>
          </cell>
          <cell r="K63">
            <v>-0.32916244544033058</v>
          </cell>
        </row>
        <row r="64">
          <cell r="I64">
            <v>0.32218370786532657</v>
          </cell>
          <cell r="J64">
            <v>2.1069019858590607</v>
          </cell>
          <cell r="K64">
            <v>3.6116838087508492</v>
          </cell>
        </row>
        <row r="65">
          <cell r="I65">
            <v>0.74827290687466752</v>
          </cell>
          <cell r="J65">
            <v>0.95750654022681081</v>
          </cell>
          <cell r="K65">
            <v>-2.0231612939392707</v>
          </cell>
        </row>
        <row r="66">
          <cell r="I66">
            <v>0.86579784824604644</v>
          </cell>
          <cell r="J66">
            <v>-1.4236532340552741</v>
          </cell>
          <cell r="K66">
            <v>-2.1936484689151508</v>
          </cell>
        </row>
        <row r="67">
          <cell r="I67">
            <v>0.51313671545401351</v>
          </cell>
          <cell r="J67">
            <v>1.3068395958059607</v>
          </cell>
          <cell r="K67">
            <v>1.8936415065975423</v>
          </cell>
        </row>
        <row r="68">
          <cell r="I68">
            <v>0.39325548672136545</v>
          </cell>
          <cell r="J68">
            <v>-1.2511410253829891</v>
          </cell>
          <cell r="K68">
            <v>2.1590194338305033</v>
          </cell>
        </row>
        <row r="69">
          <cell r="I69">
            <v>0.72541577342634544</v>
          </cell>
          <cell r="J69">
            <v>-2.7105802388613354</v>
          </cell>
          <cell r="K69">
            <v>-0.75432436554954085</v>
          </cell>
        </row>
        <row r="70">
          <cell r="I70">
            <v>2.0878950008275963</v>
          </cell>
          <cell r="J70">
            <v>-1.9917899724351762</v>
          </cell>
          <cell r="K70">
            <v>0.1993981002239491</v>
          </cell>
        </row>
        <row r="71">
          <cell r="I71">
            <v>2.7205822679337563</v>
          </cell>
          <cell r="J71">
            <v>-1.8995148209135562</v>
          </cell>
          <cell r="K71">
            <v>0.4002484831891393</v>
          </cell>
        </row>
        <row r="72">
          <cell r="I72">
            <v>-2.3570840841502836</v>
          </cell>
          <cell r="J72">
            <v>1.1653018231425509</v>
          </cell>
          <cell r="K72">
            <v>-1.7811841175545706</v>
          </cell>
        </row>
        <row r="73">
          <cell r="I73">
            <v>-1.2487261097701234</v>
          </cell>
          <cell r="J73">
            <v>-5.3698265433829384E-2</v>
          </cell>
          <cell r="K73">
            <v>1.7417943956240132</v>
          </cell>
        </row>
        <row r="74">
          <cell r="I74">
            <v>-1.1320693367729475</v>
          </cell>
          <cell r="J74">
            <v>1.1108403050054609</v>
          </cell>
          <cell r="K74">
            <v>9.6298707275789264E-2</v>
          </cell>
        </row>
        <row r="75">
          <cell r="I75">
            <v>1.5807228229274164</v>
          </cell>
          <cell r="J75">
            <v>-0.88403964772965926</v>
          </cell>
          <cell r="K75">
            <v>1.7717589995135135</v>
          </cell>
        </row>
        <row r="76">
          <cell r="I76">
            <v>-1.9899903853702736</v>
          </cell>
          <cell r="J76">
            <v>2.2936026433813312</v>
          </cell>
          <cell r="K76">
            <v>1.1131522799749041</v>
          </cell>
        </row>
        <row r="77">
          <cell r="I77">
            <v>-1.6163304449656135</v>
          </cell>
          <cell r="J77">
            <v>2.3535671930735811</v>
          </cell>
          <cell r="K77">
            <v>1.5274570730512851</v>
          </cell>
        </row>
        <row r="78">
          <cell r="I78">
            <v>-1.5207294370302935</v>
          </cell>
          <cell r="J78">
            <v>-0.69838314071248919</v>
          </cell>
          <cell r="K78">
            <v>-1.7397937182651306</v>
          </cell>
        </row>
        <row r="79">
          <cell r="I79">
            <v>0.20935468038693553</v>
          </cell>
          <cell r="J79">
            <v>-1.1022801719714392</v>
          </cell>
          <cell r="K79">
            <v>-3.0248378846604211</v>
          </cell>
        </row>
        <row r="80">
          <cell r="I80">
            <v>-0.77319676396998149</v>
          </cell>
          <cell r="J80">
            <v>-0.40857198446096921</v>
          </cell>
          <cell r="K80">
            <v>1.6701284438157082</v>
          </cell>
        </row>
        <row r="81">
          <cell r="I81">
            <v>-0.69903850620642749</v>
          </cell>
          <cell r="J81">
            <v>2.9551179295599104</v>
          </cell>
          <cell r="K81">
            <v>2.296310032312308</v>
          </cell>
        </row>
        <row r="82">
          <cell r="I82">
            <v>3.2558007772189863</v>
          </cell>
          <cell r="J82">
            <v>0.1544230439682206</v>
          </cell>
          <cell r="K82">
            <v>-0.25104098938659059</v>
          </cell>
        </row>
        <row r="83">
          <cell r="I83">
            <v>1.5209330944716666</v>
          </cell>
          <cell r="J83">
            <v>-2.1415168593997862</v>
          </cell>
          <cell r="K83">
            <v>-2.0896534359961709</v>
          </cell>
        </row>
        <row r="84">
          <cell r="I84">
            <v>-2.6280755396200735</v>
          </cell>
          <cell r="J84">
            <v>3.166807590727621</v>
          </cell>
          <cell r="K84">
            <v>0.6355902960368891</v>
          </cell>
        </row>
        <row r="85">
          <cell r="I85">
            <v>0.2909379941947835</v>
          </cell>
          <cell r="J85">
            <v>-0.16949609532716936</v>
          </cell>
          <cell r="K85">
            <v>-2.9462066782497009</v>
          </cell>
        </row>
        <row r="86">
          <cell r="I86">
            <v>-0.39960463561521548</v>
          </cell>
          <cell r="J86">
            <v>-8.6208049641719242E-2</v>
          </cell>
          <cell r="K86">
            <v>-3.9183977258386804</v>
          </cell>
        </row>
        <row r="87">
          <cell r="I87">
            <v>-0.10854140776353478</v>
          </cell>
          <cell r="J87">
            <v>-1.5908230244376962</v>
          </cell>
          <cell r="K87">
            <v>2.3240013076406334</v>
          </cell>
        </row>
        <row r="88">
          <cell r="I88">
            <v>0.59927006208453648</v>
          </cell>
          <cell r="J88">
            <v>0.49781340033704069</v>
          </cell>
          <cell r="K88">
            <v>-0.17757704113960093</v>
          </cell>
        </row>
        <row r="89">
          <cell r="I89">
            <v>0.40238872206081344</v>
          </cell>
          <cell r="J89">
            <v>1.1581628847773908</v>
          </cell>
          <cell r="K89">
            <v>1.2418179229554942</v>
          </cell>
        </row>
        <row r="90">
          <cell r="I90">
            <v>-0.58132356072226743</v>
          </cell>
          <cell r="J90">
            <v>-0.59386842173159926</v>
          </cell>
          <cell r="K90">
            <v>-1.8968525564976808</v>
          </cell>
        </row>
        <row r="91">
          <cell r="I91">
            <v>-1.7594979136704836</v>
          </cell>
          <cell r="J91">
            <v>0.39676713631451088</v>
          </cell>
          <cell r="K91">
            <v>3.0532293224693294</v>
          </cell>
        </row>
        <row r="92">
          <cell r="I92">
            <v>-1.2284412698931935</v>
          </cell>
          <cell r="J92">
            <v>-1.0126530839546992</v>
          </cell>
          <cell r="K92">
            <v>-0.45511259657217096</v>
          </cell>
        </row>
        <row r="93">
          <cell r="I93">
            <v>-3.0465593421964234</v>
          </cell>
          <cell r="J93">
            <v>3.0122461504850611</v>
          </cell>
          <cell r="K93">
            <v>-1.586062831589651</v>
          </cell>
        </row>
        <row r="94">
          <cell r="I94">
            <v>0.8951133702955465</v>
          </cell>
          <cell r="J94">
            <v>-0.89797555275719909</v>
          </cell>
          <cell r="K94">
            <v>2.1375732503986322</v>
          </cell>
        </row>
        <row r="95">
          <cell r="I95">
            <v>1.1410960114072966</v>
          </cell>
          <cell r="J95">
            <v>-1.8113308511995903</v>
          </cell>
          <cell r="K95">
            <v>-2.1390608149212409</v>
          </cell>
        </row>
        <row r="96">
          <cell r="I96">
            <v>-1.2470511406310636</v>
          </cell>
          <cell r="J96">
            <v>-0.71156009522236929</v>
          </cell>
          <cell r="K96">
            <v>-4.1059943542187805</v>
          </cell>
        </row>
        <row r="97">
          <cell r="I97">
            <v>-2.3333432345064336</v>
          </cell>
          <cell r="J97">
            <v>0.49280780137276059</v>
          </cell>
          <cell r="K97">
            <v>-0.50847312278917078</v>
          </cell>
        </row>
        <row r="98">
          <cell r="I98">
            <v>1.0183448364516965</v>
          </cell>
          <cell r="J98">
            <v>-0.60975219355435928</v>
          </cell>
          <cell r="K98">
            <v>-0.6758332158644107</v>
          </cell>
        </row>
        <row r="99">
          <cell r="I99">
            <v>8.8712261090105521E-2</v>
          </cell>
          <cell r="J99">
            <v>-0.41581872566583922</v>
          </cell>
          <cell r="K99">
            <v>7.5358026037269266E-2</v>
          </cell>
        </row>
        <row r="100">
          <cell r="I100">
            <v>0.81154390767252249</v>
          </cell>
          <cell r="J100">
            <v>-0.85274692172879929</v>
          </cell>
          <cell r="K100">
            <v>-0.83915666721224058</v>
          </cell>
        </row>
        <row r="101">
          <cell r="I101">
            <v>0.96173518459442642</v>
          </cell>
          <cell r="J101">
            <v>-4.1402680386480393</v>
          </cell>
          <cell r="K101">
            <v>-2.2552396285865708</v>
          </cell>
        </row>
        <row r="102">
          <cell r="I102">
            <v>0.41878277349453052</v>
          </cell>
          <cell r="J102">
            <v>-0.43292143890842927</v>
          </cell>
          <cell r="K102">
            <v>-0.59794733521658072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Aarrest"/>
      <sheetName val="Cluster SLVR"/>
      <sheetName val="Cluster PROC"/>
      <sheetName val="MATRIZ"/>
      <sheetName val="GRAF_ACP"/>
      <sheetName val="R2XCL"/>
      <sheetName val="Kmedias"/>
      <sheetName val="ACP"/>
      <sheetName val="UNION"/>
    </sheetNames>
    <sheetDataSet>
      <sheetData sheetId="0"/>
      <sheetData sheetId="1">
        <row r="15">
          <cell r="A15" t="str">
            <v>ID</v>
          </cell>
          <cell r="B15" t="str">
            <v>ESTADO</v>
          </cell>
          <cell r="C15" t="str">
            <v>Murder</v>
          </cell>
          <cell r="D15" t="str">
            <v>Assault</v>
          </cell>
          <cell r="E15" t="str">
            <v>UrbanPop</v>
          </cell>
          <cell r="F15" t="str">
            <v>Rape</v>
          </cell>
          <cell r="G15" t="str">
            <v>Z. Murder</v>
          </cell>
          <cell r="H15" t="str">
            <v>Z. Assault</v>
          </cell>
          <cell r="I15" t="str">
            <v>Z. UrbanPop</v>
          </cell>
          <cell r="J15" t="str">
            <v>Z. Rape</v>
          </cell>
        </row>
        <row r="16">
          <cell r="A16">
            <v>1</v>
          </cell>
          <cell r="B16" t="str">
            <v>Alabama</v>
          </cell>
          <cell r="C16">
            <v>13.2</v>
          </cell>
          <cell r="D16">
            <v>236</v>
          </cell>
          <cell r="E16">
            <v>58</v>
          </cell>
          <cell r="F16">
            <v>21.2</v>
          </cell>
          <cell r="G16">
            <v>1.2258945938530366</v>
          </cell>
          <cell r="H16">
            <v>0.77255478566860092</v>
          </cell>
          <cell r="I16">
            <v>-0.52409463983089322</v>
          </cell>
          <cell r="J16">
            <v>-1.558576708334909E-2</v>
          </cell>
        </row>
        <row r="17">
          <cell r="A17">
            <v>2</v>
          </cell>
          <cell r="B17" t="str">
            <v>Alaska</v>
          </cell>
          <cell r="C17">
            <v>10</v>
          </cell>
          <cell r="D17">
            <v>263</v>
          </cell>
          <cell r="E17">
            <v>48</v>
          </cell>
          <cell r="F17">
            <v>44.5</v>
          </cell>
          <cell r="G17">
            <v>0.49833868046864566</v>
          </cell>
          <cell r="H17">
            <v>1.0932607729417603</v>
          </cell>
          <cell r="I17">
            <v>-1.2089116358765941</v>
          </cell>
          <cell r="J17">
            <v>2.4558406605638852</v>
          </cell>
        </row>
        <row r="18">
          <cell r="A18">
            <v>3</v>
          </cell>
          <cell r="B18" t="str">
            <v>Arizona</v>
          </cell>
          <cell r="C18">
            <v>8.1</v>
          </cell>
          <cell r="D18">
            <v>294</v>
          </cell>
          <cell r="E18">
            <v>80</v>
          </cell>
          <cell r="F18">
            <v>31</v>
          </cell>
          <cell r="G18">
            <v>6.6352356896663356E-2</v>
          </cell>
          <cell r="H18">
            <v>1.4614787583294619</v>
          </cell>
          <cell r="I18">
            <v>0.98250275146964905</v>
          </cell>
          <cell r="J18">
            <v>1.0238983097811529</v>
          </cell>
        </row>
        <row r="19">
          <cell r="A19">
            <v>4</v>
          </cell>
          <cell r="B19" t="str">
            <v>Arkansas</v>
          </cell>
          <cell r="C19">
            <v>8.8000000000000007</v>
          </cell>
          <cell r="D19">
            <v>190</v>
          </cell>
          <cell r="E19">
            <v>50</v>
          </cell>
          <cell r="F19">
            <v>19.5</v>
          </cell>
          <cell r="G19">
            <v>0.22550521294949916</v>
          </cell>
          <cell r="H19">
            <v>0.22616680735136629</v>
          </cell>
          <cell r="I19">
            <v>-1.071948236667454</v>
          </cell>
          <cell r="J19">
            <v>-0.1959044334782116</v>
          </cell>
        </row>
        <row r="20">
          <cell r="A20">
            <v>5</v>
          </cell>
          <cell r="B20" t="str">
            <v>California</v>
          </cell>
          <cell r="C20">
            <v>9</v>
          </cell>
          <cell r="D20">
            <v>276</v>
          </cell>
          <cell r="E20">
            <v>91</v>
          </cell>
          <cell r="F20">
            <v>40.6</v>
          </cell>
          <cell r="G20">
            <v>0.27097745753602342</v>
          </cell>
          <cell r="H20">
            <v>1.2476747668140222</v>
          </cell>
          <cell r="I20">
            <v>1.7358014471199201</v>
          </cell>
          <cell r="J20">
            <v>2.0421684258933186</v>
          </cell>
        </row>
        <row r="21">
          <cell r="A21">
            <v>6</v>
          </cell>
          <cell r="B21" t="str">
            <v>Colorado</v>
          </cell>
          <cell r="C21">
            <v>7.9</v>
          </cell>
          <cell r="D21">
            <v>204</v>
          </cell>
          <cell r="E21">
            <v>78</v>
          </cell>
          <cell r="F21">
            <v>38.700000000000003</v>
          </cell>
          <cell r="G21">
            <v>2.0880112310139077E-2</v>
          </cell>
          <cell r="H21">
            <v>0.3924588007522638</v>
          </cell>
          <cell r="I21">
            <v>0.8455393522605088</v>
          </cell>
          <cell r="J21">
            <v>1.8406357987461193</v>
          </cell>
        </row>
        <row r="22">
          <cell r="A22">
            <v>7</v>
          </cell>
          <cell r="B22" t="str">
            <v>Connecticut</v>
          </cell>
          <cell r="C22">
            <v>3.3</v>
          </cell>
          <cell r="D22">
            <v>110</v>
          </cell>
          <cell r="E22">
            <v>77</v>
          </cell>
          <cell r="F22">
            <v>11.1</v>
          </cell>
          <cell r="G22">
            <v>-1.0249815131799234</v>
          </cell>
          <cell r="H22">
            <v>-0.72407315493947655</v>
          </cell>
          <cell r="I22">
            <v>0.77705765265593874</v>
          </cell>
          <cell r="J22">
            <v>-1.0868907850763563</v>
          </cell>
        </row>
        <row r="23">
          <cell r="A23">
            <v>8</v>
          </cell>
          <cell r="B23" t="str">
            <v>Delaware</v>
          </cell>
          <cell r="C23">
            <v>5.9</v>
          </cell>
          <cell r="D23">
            <v>238</v>
          </cell>
          <cell r="E23">
            <v>72</v>
          </cell>
          <cell r="F23">
            <v>15.8</v>
          </cell>
          <cell r="G23">
            <v>-0.43384233355510537</v>
          </cell>
          <cell r="H23">
            <v>0.79631078472587202</v>
          </cell>
          <cell r="I23">
            <v>0.43464915463308823</v>
          </cell>
          <cell r="J23">
            <v>-0.58836270739644192</v>
          </cell>
        </row>
        <row r="24">
          <cell r="A24">
            <v>9</v>
          </cell>
          <cell r="B24" t="str">
            <v>Florida</v>
          </cell>
          <cell r="C24">
            <v>15.4</v>
          </cell>
          <cell r="D24">
            <v>335</v>
          </cell>
          <cell r="E24">
            <v>80</v>
          </cell>
          <cell r="F24">
            <v>31.9</v>
          </cell>
          <cell r="G24">
            <v>1.7260892843048057</v>
          </cell>
          <cell r="H24">
            <v>1.9484767390035189</v>
          </cell>
          <cell r="I24">
            <v>0.98250275146964905</v>
          </cell>
          <cell r="J24">
            <v>1.1193611331666684</v>
          </cell>
        </row>
        <row r="25">
          <cell r="A25">
            <v>10</v>
          </cell>
          <cell r="B25" t="str">
            <v>Georgia</v>
          </cell>
          <cell r="C25">
            <v>17.399999999999999</v>
          </cell>
          <cell r="D25">
            <v>211</v>
          </cell>
          <cell r="E25">
            <v>60</v>
          </cell>
          <cell r="F25">
            <v>25.8</v>
          </cell>
          <cell r="G25">
            <v>2.18081173017005</v>
          </cell>
          <cell r="H25">
            <v>0.47560479745271256</v>
          </cell>
          <cell r="I25">
            <v>-0.38713124062175297</v>
          </cell>
          <cell r="J25">
            <v>0.47233533022039692</v>
          </cell>
        </row>
        <row r="26">
          <cell r="A26">
            <v>11</v>
          </cell>
          <cell r="B26" t="str">
            <v>Hawaii</v>
          </cell>
          <cell r="C26">
            <v>5.3</v>
          </cell>
          <cell r="D26">
            <v>46</v>
          </cell>
          <cell r="E26">
            <v>83</v>
          </cell>
          <cell r="F26">
            <v>20.2</v>
          </cell>
          <cell r="G26">
            <v>-0.57025906731467879</v>
          </cell>
          <cell r="H26">
            <v>-1.4842651247721508</v>
          </cell>
          <cell r="I26">
            <v>1.1879478502833594</v>
          </cell>
          <cell r="J26">
            <v>-0.12165557084503296</v>
          </cell>
        </row>
        <row r="27">
          <cell r="A27">
            <v>12</v>
          </cell>
          <cell r="B27" t="str">
            <v>Idaho</v>
          </cell>
          <cell r="C27">
            <v>2.6</v>
          </cell>
          <cell r="D27">
            <v>120</v>
          </cell>
          <cell r="E27">
            <v>54</v>
          </cell>
          <cell r="F27">
            <v>14.2</v>
          </cell>
          <cell r="G27">
            <v>-1.1841343692327586</v>
          </cell>
          <cell r="H27">
            <v>-0.60529315965312114</v>
          </cell>
          <cell r="I27">
            <v>-0.7980214382491736</v>
          </cell>
          <cell r="J27">
            <v>-0.75807439341513627</v>
          </cell>
        </row>
        <row r="28">
          <cell r="A28">
            <v>13</v>
          </cell>
          <cell r="B28" t="str">
            <v>Illinois</v>
          </cell>
          <cell r="C28">
            <v>10.4</v>
          </cell>
          <cell r="D28">
            <v>249</v>
          </cell>
          <cell r="E28">
            <v>83</v>
          </cell>
          <cell r="F28">
            <v>24</v>
          </cell>
          <cell r="G28">
            <v>0.58928316964169458</v>
          </cell>
          <cell r="H28">
            <v>0.92696877954086287</v>
          </cell>
          <cell r="I28">
            <v>1.1879478502833594</v>
          </cell>
          <cell r="J28">
            <v>0.28140968344936584</v>
          </cell>
        </row>
        <row r="29">
          <cell r="A29">
            <v>14</v>
          </cell>
          <cell r="B29" t="str">
            <v>Indiana</v>
          </cell>
          <cell r="C29">
            <v>7.2</v>
          </cell>
          <cell r="D29">
            <v>113</v>
          </cell>
          <cell r="E29">
            <v>65</v>
          </cell>
          <cell r="F29">
            <v>21</v>
          </cell>
          <cell r="G29">
            <v>-0.13827274374269652</v>
          </cell>
          <cell r="H29">
            <v>-0.68843915635356989</v>
          </cell>
          <cell r="I29">
            <v>-4.4722742598902486E-2</v>
          </cell>
          <cell r="J29">
            <v>-3.6799727835685789E-2</v>
          </cell>
        </row>
        <row r="30">
          <cell r="A30">
            <v>15</v>
          </cell>
          <cell r="B30" t="str">
            <v>Iowa</v>
          </cell>
          <cell r="C30">
            <v>2.2000000000000002</v>
          </cell>
          <cell r="D30">
            <v>56</v>
          </cell>
          <cell r="E30">
            <v>57</v>
          </cell>
          <cell r="F30">
            <v>11.3</v>
          </cell>
          <cell r="G30">
            <v>-1.2750788584058077</v>
          </cell>
          <cell r="H30">
            <v>-1.3654851294857955</v>
          </cell>
          <cell r="I30">
            <v>-0.59257633943546328</v>
          </cell>
          <cell r="J30">
            <v>-1.0656768243240193</v>
          </cell>
        </row>
        <row r="31">
          <cell r="A31">
            <v>16</v>
          </cell>
          <cell r="B31" t="str">
            <v>Kansas</v>
          </cell>
          <cell r="C31">
            <v>6</v>
          </cell>
          <cell r="D31">
            <v>115</v>
          </cell>
          <cell r="E31">
            <v>66</v>
          </cell>
          <cell r="F31">
            <v>18</v>
          </cell>
          <cell r="G31">
            <v>-0.41110621126184321</v>
          </cell>
          <cell r="H31">
            <v>-0.66468315729629879</v>
          </cell>
          <cell r="I31">
            <v>2.3758957005667613E-2</v>
          </cell>
          <cell r="J31">
            <v>-0.35500913912073745</v>
          </cell>
        </row>
        <row r="32">
          <cell r="A32">
            <v>17</v>
          </cell>
          <cell r="B32" t="str">
            <v>Kentucky</v>
          </cell>
          <cell r="C32">
            <v>9.6999999999999993</v>
          </cell>
          <cell r="D32">
            <v>109</v>
          </cell>
          <cell r="E32">
            <v>52</v>
          </cell>
          <cell r="F32">
            <v>16.3</v>
          </cell>
          <cell r="G32">
            <v>0.43013031358885884</v>
          </cell>
          <cell r="H32">
            <v>-0.73595115446811199</v>
          </cell>
          <cell r="I32">
            <v>-0.93498483745831384</v>
          </cell>
          <cell r="J32">
            <v>-0.5353278055156</v>
          </cell>
        </row>
        <row r="33">
          <cell r="A33">
            <v>18</v>
          </cell>
          <cell r="B33" t="str">
            <v>Louisiana</v>
          </cell>
          <cell r="C33">
            <v>15.4</v>
          </cell>
          <cell r="D33">
            <v>249</v>
          </cell>
          <cell r="E33">
            <v>66</v>
          </cell>
          <cell r="F33">
            <v>22.2</v>
          </cell>
          <cell r="G33">
            <v>1.7260892843048057</v>
          </cell>
          <cell r="H33">
            <v>0.92696877954086287</v>
          </cell>
          <cell r="I33">
            <v>2.3758957005667613E-2</v>
          </cell>
          <cell r="J33">
            <v>9.0484036678334795E-2</v>
          </cell>
        </row>
        <row r="34">
          <cell r="A34">
            <v>19</v>
          </cell>
          <cell r="B34" t="str">
            <v>Maine</v>
          </cell>
          <cell r="C34">
            <v>2.1</v>
          </cell>
          <cell r="D34">
            <v>83</v>
          </cell>
          <cell r="E34">
            <v>51</v>
          </cell>
          <cell r="F34">
            <v>7.8</v>
          </cell>
          <cell r="G34">
            <v>-1.2978149806990698</v>
          </cell>
          <cell r="H34">
            <v>-1.044779142212636</v>
          </cell>
          <cell r="I34">
            <v>-1.0034665370628839</v>
          </cell>
          <cell r="J34">
            <v>-1.4369211374899129</v>
          </cell>
        </row>
        <row r="35">
          <cell r="A35">
            <v>20</v>
          </cell>
          <cell r="B35" t="str">
            <v>Maryland</v>
          </cell>
          <cell r="C35">
            <v>11.3</v>
          </cell>
          <cell r="D35">
            <v>300</v>
          </cell>
          <cell r="E35">
            <v>67</v>
          </cell>
          <cell r="F35">
            <v>27.8</v>
          </cell>
          <cell r="G35">
            <v>0.79390827028105471</v>
          </cell>
          <cell r="H35">
            <v>1.5327467555012753</v>
          </cell>
          <cell r="I35">
            <v>9.2240656610237712E-2</v>
          </cell>
          <cell r="J35">
            <v>0.68447493774376467</v>
          </cell>
        </row>
        <row r="36">
          <cell r="A36">
            <v>21</v>
          </cell>
          <cell r="B36" t="str">
            <v>Massachusetts</v>
          </cell>
          <cell r="C36">
            <v>4.4000000000000004</v>
          </cell>
          <cell r="D36">
            <v>149</v>
          </cell>
          <cell r="E36">
            <v>85</v>
          </cell>
          <cell r="F36">
            <v>16.3</v>
          </cell>
          <cell r="G36">
            <v>-0.77488416795403869</v>
          </cell>
          <cell r="H36">
            <v>-0.26083117332269062</v>
          </cell>
          <cell r="I36">
            <v>1.3249112494924995</v>
          </cell>
          <cell r="J36">
            <v>-0.5353278055156</v>
          </cell>
        </row>
        <row r="37">
          <cell r="A37">
            <v>22</v>
          </cell>
          <cell r="B37" t="str">
            <v>Michigan</v>
          </cell>
          <cell r="C37">
            <v>12.1</v>
          </cell>
          <cell r="D37">
            <v>255</v>
          </cell>
          <cell r="E37">
            <v>74</v>
          </cell>
          <cell r="F37">
            <v>35.1</v>
          </cell>
          <cell r="G37">
            <v>0.97579724862715222</v>
          </cell>
          <cell r="H37">
            <v>0.99823677671267608</v>
          </cell>
          <cell r="I37">
            <v>0.57161255384222842</v>
          </cell>
          <cell r="J37">
            <v>1.4587845052040571</v>
          </cell>
        </row>
        <row r="38">
          <cell r="A38">
            <v>23</v>
          </cell>
          <cell r="B38" t="str">
            <v>Minnesota</v>
          </cell>
          <cell r="C38">
            <v>2.7</v>
          </cell>
          <cell r="D38">
            <v>72</v>
          </cell>
          <cell r="E38">
            <v>66</v>
          </cell>
          <cell r="F38">
            <v>14.9</v>
          </cell>
          <cell r="G38">
            <v>-1.1613982469394966</v>
          </cell>
          <cell r="H38">
            <v>-1.1754371370276269</v>
          </cell>
          <cell r="I38">
            <v>2.3758957005667613E-2</v>
          </cell>
          <cell r="J38">
            <v>-0.6838255307819574</v>
          </cell>
        </row>
        <row r="39">
          <cell r="A39">
            <v>24</v>
          </cell>
          <cell r="B39" t="str">
            <v>Mississippi</v>
          </cell>
          <cell r="C39">
            <v>16.100000000000001</v>
          </cell>
          <cell r="D39">
            <v>259</v>
          </cell>
          <cell r="E39">
            <v>44</v>
          </cell>
          <cell r="F39">
            <v>17.100000000000001</v>
          </cell>
          <cell r="G39">
            <v>1.8852421403576418</v>
          </cell>
          <cell r="H39">
            <v>1.0457487748272183</v>
          </cell>
          <cell r="I39">
            <v>-1.4828384342948746</v>
          </cell>
          <cell r="J39">
            <v>-0.45047196250625277</v>
          </cell>
        </row>
        <row r="40">
          <cell r="A40">
            <v>25</v>
          </cell>
          <cell r="B40" t="str">
            <v>Missouri</v>
          </cell>
          <cell r="C40">
            <v>9</v>
          </cell>
          <cell r="D40">
            <v>178</v>
          </cell>
          <cell r="E40">
            <v>70</v>
          </cell>
          <cell r="F40">
            <v>28.2</v>
          </cell>
          <cell r="G40">
            <v>0.27097745753602342</v>
          </cell>
          <cell r="H40">
            <v>8.3630813007739876E-2</v>
          </cell>
          <cell r="I40">
            <v>0.29768575542394804</v>
          </cell>
          <cell r="J40">
            <v>0.72690285924843812</v>
          </cell>
        </row>
        <row r="41">
          <cell r="A41">
            <v>26</v>
          </cell>
          <cell r="B41" t="str">
            <v>Montana</v>
          </cell>
          <cell r="C41">
            <v>6</v>
          </cell>
          <cell r="D41">
            <v>109</v>
          </cell>
          <cell r="E41">
            <v>53</v>
          </cell>
          <cell r="F41">
            <v>16.399999999999999</v>
          </cell>
          <cell r="G41">
            <v>-0.41110621126184321</v>
          </cell>
          <cell r="H41">
            <v>-0.73595115446811199</v>
          </cell>
          <cell r="I41">
            <v>-0.86650313785374367</v>
          </cell>
          <cell r="J41">
            <v>-0.52472082513943175</v>
          </cell>
        </row>
        <row r="42">
          <cell r="A42">
            <v>27</v>
          </cell>
          <cell r="B42" t="str">
            <v>Nebraska</v>
          </cell>
          <cell r="C42">
            <v>4.3</v>
          </cell>
          <cell r="D42">
            <v>102</v>
          </cell>
          <cell r="E42">
            <v>62</v>
          </cell>
          <cell r="F42">
            <v>16.5</v>
          </cell>
          <cell r="G42">
            <v>-0.79762029024730108</v>
          </cell>
          <cell r="H42">
            <v>-0.81909715116856074</v>
          </cell>
          <cell r="I42">
            <v>-0.25016784141261278</v>
          </cell>
          <cell r="J42">
            <v>-0.51411384476326327</v>
          </cell>
        </row>
        <row r="43">
          <cell r="A43">
            <v>28</v>
          </cell>
          <cell r="B43" t="str">
            <v>Nevada</v>
          </cell>
          <cell r="C43">
            <v>12.2</v>
          </cell>
          <cell r="D43">
            <v>252</v>
          </cell>
          <cell r="E43">
            <v>81</v>
          </cell>
          <cell r="F43">
            <v>46</v>
          </cell>
          <cell r="G43">
            <v>0.99853337092041439</v>
          </cell>
          <cell r="H43">
            <v>0.96260277812676953</v>
          </cell>
          <cell r="I43">
            <v>1.0509844510742192</v>
          </cell>
          <cell r="J43">
            <v>2.614945366206411</v>
          </cell>
        </row>
        <row r="44">
          <cell r="A44">
            <v>29</v>
          </cell>
          <cell r="B44" t="str">
            <v>New Hampshire</v>
          </cell>
          <cell r="C44">
            <v>2.1</v>
          </cell>
          <cell r="D44">
            <v>57</v>
          </cell>
          <cell r="E44">
            <v>56</v>
          </cell>
          <cell r="F44">
            <v>9.5</v>
          </cell>
          <cell r="G44">
            <v>-1.2978149806990698</v>
          </cell>
          <cell r="H44">
            <v>-1.3536071299571599</v>
          </cell>
          <cell r="I44">
            <v>-0.66105803904003335</v>
          </cell>
          <cell r="J44">
            <v>-1.2566024710950505</v>
          </cell>
        </row>
        <row r="45">
          <cell r="A45">
            <v>30</v>
          </cell>
          <cell r="B45" t="str">
            <v>New Jersey</v>
          </cell>
          <cell r="C45">
            <v>7.4</v>
          </cell>
          <cell r="D45">
            <v>159</v>
          </cell>
          <cell r="E45">
            <v>89</v>
          </cell>
          <cell r="F45">
            <v>18.8</v>
          </cell>
          <cell r="G45">
            <v>-9.2800499156172028E-2</v>
          </cell>
          <cell r="H45">
            <v>-0.1420511780363353</v>
          </cell>
          <cell r="I45">
            <v>1.59883804791078</v>
          </cell>
          <cell r="J45">
            <v>-0.27015329611139027</v>
          </cell>
        </row>
        <row r="46">
          <cell r="A46">
            <v>31</v>
          </cell>
          <cell r="B46" t="str">
            <v>New Mexico</v>
          </cell>
          <cell r="C46">
            <v>11.4</v>
          </cell>
          <cell r="D46">
            <v>285</v>
          </cell>
          <cell r="E46">
            <v>70</v>
          </cell>
          <cell r="F46">
            <v>32.1</v>
          </cell>
          <cell r="G46">
            <v>0.81664439257431687</v>
          </cell>
          <cell r="H46">
            <v>1.3545767625717422</v>
          </cell>
          <cell r="I46">
            <v>0.29768575542394804</v>
          </cell>
          <cell r="J46">
            <v>1.1405750939190054</v>
          </cell>
        </row>
        <row r="47">
          <cell r="A47">
            <v>32</v>
          </cell>
          <cell r="B47" t="str">
            <v>New York</v>
          </cell>
          <cell r="C47">
            <v>11.1</v>
          </cell>
          <cell r="D47">
            <v>254</v>
          </cell>
          <cell r="E47">
            <v>86</v>
          </cell>
          <cell r="F47">
            <v>26.1</v>
          </cell>
          <cell r="G47">
            <v>0.74843602569453005</v>
          </cell>
          <cell r="H47">
            <v>0.98635877718404052</v>
          </cell>
          <cell r="I47">
            <v>1.3933929490970696</v>
          </cell>
          <cell r="J47">
            <v>0.50415627134890217</v>
          </cell>
        </row>
        <row r="48">
          <cell r="A48">
            <v>33</v>
          </cell>
          <cell r="B48" t="str">
            <v>North Carolina</v>
          </cell>
          <cell r="C48">
            <v>13</v>
          </cell>
          <cell r="D48">
            <v>337</v>
          </cell>
          <cell r="E48">
            <v>45</v>
          </cell>
          <cell r="F48">
            <v>16.100000000000001</v>
          </cell>
          <cell r="G48">
            <v>1.1804223492665122</v>
          </cell>
          <cell r="H48">
            <v>1.97223273806079</v>
          </cell>
          <cell r="I48">
            <v>-1.4143567346903045</v>
          </cell>
          <cell r="J48">
            <v>-0.55654176626793661</v>
          </cell>
        </row>
        <row r="49">
          <cell r="A49">
            <v>34</v>
          </cell>
          <cell r="B49" t="str">
            <v>North Dakota</v>
          </cell>
          <cell r="C49">
            <v>0.8</v>
          </cell>
          <cell r="D49">
            <v>45</v>
          </cell>
          <cell r="E49">
            <v>44</v>
          </cell>
          <cell r="F49">
            <v>7.3</v>
          </cell>
          <cell r="G49">
            <v>-1.5933845705114789</v>
          </cell>
          <cell r="H49">
            <v>-1.4961431243007863</v>
          </cell>
          <cell r="I49">
            <v>-1.4828384342948746</v>
          </cell>
          <cell r="J49">
            <v>-1.4899560393707549</v>
          </cell>
        </row>
        <row r="50">
          <cell r="A50">
            <v>35</v>
          </cell>
          <cell r="B50" t="str">
            <v>Ohio</v>
          </cell>
          <cell r="C50">
            <v>7.3</v>
          </cell>
          <cell r="D50">
            <v>120</v>
          </cell>
          <cell r="E50">
            <v>75</v>
          </cell>
          <cell r="F50">
            <v>21.4</v>
          </cell>
          <cell r="G50">
            <v>-0.11553662144943437</v>
          </cell>
          <cell r="H50">
            <v>-0.60529315965312114</v>
          </cell>
          <cell r="I50">
            <v>0.64009425344679849</v>
          </cell>
          <cell r="J50">
            <v>5.6281936689876111E-3</v>
          </cell>
        </row>
        <row r="51">
          <cell r="A51">
            <v>36</v>
          </cell>
          <cell r="B51" t="str">
            <v>Oklahoma</v>
          </cell>
          <cell r="C51">
            <v>6.6</v>
          </cell>
          <cell r="D51">
            <v>151</v>
          </cell>
          <cell r="E51">
            <v>68</v>
          </cell>
          <cell r="F51">
            <v>20</v>
          </cell>
          <cell r="G51">
            <v>-0.27468947750226996</v>
          </cell>
          <cell r="H51">
            <v>-0.23707517426541957</v>
          </cell>
          <cell r="I51">
            <v>0.16072235621480782</v>
          </cell>
          <cell r="J51">
            <v>-0.14286953159736968</v>
          </cell>
        </row>
        <row r="52">
          <cell r="A52">
            <v>37</v>
          </cell>
          <cell r="B52" t="str">
            <v>Oregon</v>
          </cell>
          <cell r="C52">
            <v>4.9000000000000004</v>
          </cell>
          <cell r="D52">
            <v>159</v>
          </cell>
          <cell r="E52">
            <v>67</v>
          </cell>
          <cell r="F52">
            <v>29.3</v>
          </cell>
          <cell r="G52">
            <v>-0.66120355648772755</v>
          </cell>
          <cell r="H52">
            <v>-0.1420511780363353</v>
          </cell>
          <cell r="I52">
            <v>9.2240656610237712E-2</v>
          </cell>
          <cell r="J52">
            <v>0.84357964338629043</v>
          </cell>
        </row>
        <row r="53">
          <cell r="A53">
            <v>38</v>
          </cell>
          <cell r="B53" t="str">
            <v>Pennsylvania</v>
          </cell>
          <cell r="C53">
            <v>6.3</v>
          </cell>
          <cell r="D53">
            <v>106</v>
          </cell>
          <cell r="E53">
            <v>72</v>
          </cell>
          <cell r="F53">
            <v>14.9</v>
          </cell>
          <cell r="G53">
            <v>-0.34289784438205662</v>
          </cell>
          <cell r="H53">
            <v>-0.77158515305401865</v>
          </cell>
          <cell r="I53">
            <v>0.43464915463308823</v>
          </cell>
          <cell r="J53">
            <v>-0.6838255307819574</v>
          </cell>
        </row>
        <row r="54">
          <cell r="A54">
            <v>39</v>
          </cell>
          <cell r="B54" t="str">
            <v>Rhode Island</v>
          </cell>
          <cell r="C54">
            <v>3.4</v>
          </cell>
          <cell r="D54">
            <v>174</v>
          </cell>
          <cell r="E54">
            <v>87</v>
          </cell>
          <cell r="F54">
            <v>8.3000000000000007</v>
          </cell>
          <cell r="G54">
            <v>-1.0022453908866611</v>
          </cell>
          <cell r="H54">
            <v>3.6118814893197744E-2</v>
          </cell>
          <cell r="I54">
            <v>1.4618746487016396</v>
          </cell>
          <cell r="J54">
            <v>-1.3838862356090711</v>
          </cell>
        </row>
        <row r="55">
          <cell r="A55">
            <v>40</v>
          </cell>
          <cell r="B55" t="str">
            <v>South Carolina</v>
          </cell>
          <cell r="C55">
            <v>14.4</v>
          </cell>
          <cell r="D55">
            <v>279</v>
          </cell>
          <cell r="E55">
            <v>48</v>
          </cell>
          <cell r="F55">
            <v>22.5</v>
          </cell>
          <cell r="G55">
            <v>1.4987280613721834</v>
          </cell>
          <cell r="H55">
            <v>1.2833087653999289</v>
          </cell>
          <cell r="I55">
            <v>-1.2089116358765941</v>
          </cell>
          <cell r="J55">
            <v>0.12230497780684003</v>
          </cell>
        </row>
        <row r="56">
          <cell r="A56">
            <v>41</v>
          </cell>
          <cell r="B56" t="str">
            <v>South Dakota</v>
          </cell>
          <cell r="C56">
            <v>3.8</v>
          </cell>
          <cell r="D56">
            <v>86</v>
          </cell>
          <cell r="E56">
            <v>45</v>
          </cell>
          <cell r="F56">
            <v>12.8</v>
          </cell>
          <cell r="G56">
            <v>-0.91130090171361211</v>
          </cell>
          <cell r="H56">
            <v>-1.0091451436267294</v>
          </cell>
          <cell r="I56">
            <v>-1.4143567346903045</v>
          </cell>
          <cell r="J56">
            <v>-0.90657211868149357</v>
          </cell>
        </row>
        <row r="57">
          <cell r="A57">
            <v>42</v>
          </cell>
          <cell r="B57" t="str">
            <v>Tennessee</v>
          </cell>
          <cell r="C57">
            <v>13.2</v>
          </cell>
          <cell r="D57">
            <v>188</v>
          </cell>
          <cell r="E57">
            <v>59</v>
          </cell>
          <cell r="F57">
            <v>26.9</v>
          </cell>
          <cell r="G57">
            <v>1.2258945938530366</v>
          </cell>
          <cell r="H57">
            <v>0.20241080829409525</v>
          </cell>
          <cell r="I57">
            <v>-0.45561294022632309</v>
          </cell>
          <cell r="J57">
            <v>0.58901211435824896</v>
          </cell>
        </row>
        <row r="58">
          <cell r="A58">
            <v>43</v>
          </cell>
          <cell r="B58" t="str">
            <v>Texas</v>
          </cell>
          <cell r="C58">
            <v>12.7</v>
          </cell>
          <cell r="D58">
            <v>201</v>
          </cell>
          <cell r="E58">
            <v>80</v>
          </cell>
          <cell r="F58">
            <v>25.5</v>
          </cell>
          <cell r="G58">
            <v>1.1122139823867254</v>
          </cell>
          <cell r="H58">
            <v>0.3568248021663572</v>
          </cell>
          <cell r="I58">
            <v>0.98250275146964905</v>
          </cell>
          <cell r="J58">
            <v>0.44051438909189167</v>
          </cell>
        </row>
        <row r="59">
          <cell r="A59">
            <v>44</v>
          </cell>
          <cell r="B59" t="str">
            <v>Utah</v>
          </cell>
          <cell r="C59">
            <v>3.2</v>
          </cell>
          <cell r="D59">
            <v>120</v>
          </cell>
          <cell r="E59">
            <v>80</v>
          </cell>
          <cell r="F59">
            <v>22.9</v>
          </cell>
          <cell r="G59">
            <v>-1.0477176354731854</v>
          </cell>
          <cell r="H59">
            <v>-0.60529315965312114</v>
          </cell>
          <cell r="I59">
            <v>0.98250275146964905</v>
          </cell>
          <cell r="J59">
            <v>0.16473289931151344</v>
          </cell>
        </row>
        <row r="60">
          <cell r="A60">
            <v>45</v>
          </cell>
          <cell r="B60" t="str">
            <v>Vermont</v>
          </cell>
          <cell r="C60">
            <v>2.2000000000000002</v>
          </cell>
          <cell r="D60">
            <v>48</v>
          </cell>
          <cell r="E60">
            <v>32</v>
          </cell>
          <cell r="F60">
            <v>11.2</v>
          </cell>
          <cell r="G60">
            <v>-1.2750788584058077</v>
          </cell>
          <cell r="H60">
            <v>-1.4605091257148797</v>
          </cell>
          <cell r="I60">
            <v>-2.3046188295497156</v>
          </cell>
          <cell r="J60">
            <v>-1.0762838047001879</v>
          </cell>
        </row>
        <row r="61">
          <cell r="A61">
            <v>46</v>
          </cell>
          <cell r="B61" t="str">
            <v>Virginia</v>
          </cell>
          <cell r="C61">
            <v>8.5</v>
          </cell>
          <cell r="D61">
            <v>156</v>
          </cell>
          <cell r="E61">
            <v>63</v>
          </cell>
          <cell r="F61">
            <v>20.7</v>
          </cell>
          <cell r="G61">
            <v>0.15729684606971234</v>
          </cell>
          <cell r="H61">
            <v>-0.1776851766222419</v>
          </cell>
          <cell r="I61">
            <v>-0.18168614180804268</v>
          </cell>
          <cell r="J61">
            <v>-6.8620668964191028E-2</v>
          </cell>
        </row>
        <row r="62">
          <cell r="A62">
            <v>47</v>
          </cell>
          <cell r="B62" t="str">
            <v>Washington</v>
          </cell>
          <cell r="C62">
            <v>4</v>
          </cell>
          <cell r="D62">
            <v>145</v>
          </cell>
          <cell r="E62">
            <v>73</v>
          </cell>
          <cell r="F62">
            <v>26.2</v>
          </cell>
          <cell r="G62">
            <v>-0.86582865712708768</v>
          </cell>
          <cell r="H62">
            <v>-0.30834317143723278</v>
          </cell>
          <cell r="I62">
            <v>0.50313085423765835</v>
          </cell>
          <cell r="J62">
            <v>0.51476325172507031</v>
          </cell>
        </row>
        <row r="63">
          <cell r="A63">
            <v>48</v>
          </cell>
          <cell r="B63" t="str">
            <v>West Virginia</v>
          </cell>
          <cell r="C63">
            <v>5.7</v>
          </cell>
          <cell r="D63">
            <v>81</v>
          </cell>
          <cell r="E63">
            <v>39</v>
          </cell>
          <cell r="F63">
            <v>9.3000000000000007</v>
          </cell>
          <cell r="G63">
            <v>-0.47931457814162987</v>
          </cell>
          <cell r="H63">
            <v>-1.0685351412699071</v>
          </cell>
          <cell r="I63">
            <v>-1.8252469323177252</v>
          </cell>
          <cell r="J63">
            <v>-1.277816431847387</v>
          </cell>
        </row>
        <row r="64">
          <cell r="A64">
            <v>49</v>
          </cell>
          <cell r="B64" t="str">
            <v>Wisconsin</v>
          </cell>
          <cell r="C64">
            <v>2.6</v>
          </cell>
          <cell r="D64">
            <v>53</v>
          </cell>
          <cell r="E64">
            <v>66</v>
          </cell>
          <cell r="F64">
            <v>10.8</v>
          </cell>
          <cell r="G64">
            <v>-1.1841343692327586</v>
          </cell>
          <cell r="H64">
            <v>-1.4011191280717019</v>
          </cell>
          <cell r="I64">
            <v>2.3758957005667613E-2</v>
          </cell>
          <cell r="J64">
            <v>-1.1187117262048614</v>
          </cell>
        </row>
      </sheetData>
      <sheetData sheetId="2">
        <row r="1">
          <cell r="N1" t="str">
            <v>ID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68BA-F48F-48AB-90A4-2826B1B06975}">
  <sheetPr>
    <tabColor rgb="FF92D050"/>
  </sheetPr>
  <dimension ref="B1:E32"/>
  <sheetViews>
    <sheetView tabSelected="1" topLeftCell="D1" zoomScaleNormal="100" workbookViewId="0">
      <selection activeCell="E2" sqref="E2"/>
    </sheetView>
  </sheetViews>
  <sheetFormatPr baseColWidth="10" defaultColWidth="11.53515625" defaultRowHeight="15" x14ac:dyDescent="0.45"/>
  <cols>
    <col min="1" max="1" width="11.53515625" style="1"/>
    <col min="2" max="2" width="23.23046875" style="3" bestFit="1" customWidth="1"/>
    <col min="3" max="3" width="11.53515625" style="2"/>
    <col min="4" max="4" width="10.53515625" style="1" customWidth="1"/>
    <col min="5" max="5" width="94.4609375" style="9" bestFit="1" customWidth="1"/>
    <col min="6" max="16384" width="11.53515625" style="1"/>
  </cols>
  <sheetData>
    <row r="1" spans="2:5" x14ac:dyDescent="0.45">
      <c r="B1" s="6" t="s">
        <v>6</v>
      </c>
      <c r="C1" s="5">
        <v>0</v>
      </c>
      <c r="E1" s="9" t="str" cm="1">
        <f t="array" ref="E1:E32">_xll.R.MR_Tobit.C(DATOS!G6:G206,DATOS!B6:E206,C1,DATOS!H6:H206,C2,C3,C4,,C3)</f>
        <v>R4XCL_ModeloEstimado</v>
      </c>
    </row>
    <row r="2" spans="2:5" x14ac:dyDescent="0.45">
      <c r="B2" s="6" t="s">
        <v>5</v>
      </c>
      <c r="C2" s="5">
        <v>100</v>
      </c>
      <c r="E2" s="9" t="str">
        <v/>
      </c>
    </row>
    <row r="3" spans="2:5" x14ac:dyDescent="0.45">
      <c r="B3" s="6" t="s">
        <v>4</v>
      </c>
      <c r="C3" s="5">
        <v>800</v>
      </c>
      <c r="E3" s="9" t="str">
        <v>Call:</v>
      </c>
    </row>
    <row r="4" spans="2:5" x14ac:dyDescent="0.45">
      <c r="B4" s="6" t="s">
        <v>3</v>
      </c>
      <c r="C4" s="5">
        <v>1</v>
      </c>
      <c r="E4" s="9" t="str">
        <v xml:space="preserve">VGAM::vglm(formula = especificacion, family = tobit(Upper = ValorTruncamiento), </v>
      </c>
    </row>
    <row r="5" spans="2:5" x14ac:dyDescent="0.45">
      <c r="B5" s="6"/>
      <c r="C5" s="5"/>
      <c r="E5" s="9" t="str">
        <v xml:space="preserve">    data = DT)</v>
      </c>
    </row>
    <row r="6" spans="2:5" x14ac:dyDescent="0.45">
      <c r="E6" s="9" t="str">
        <v/>
      </c>
    </row>
    <row r="7" spans="2:5" x14ac:dyDescent="0.45">
      <c r="E7" s="9" t="str">
        <v/>
      </c>
    </row>
    <row r="8" spans="2:5" x14ac:dyDescent="0.45">
      <c r="E8" s="9" t="str">
        <v>Pearson residuals:</v>
      </c>
    </row>
    <row r="9" spans="2:5" x14ac:dyDescent="0.45">
      <c r="E9" s="9" t="str">
        <v xml:space="preserve">             Min      1Q   Median     3Q   Max</v>
      </c>
    </row>
    <row r="10" spans="2:5" x14ac:dyDescent="0.45">
      <c r="E10" s="9" t="str">
        <v>mu       -2.5684 -0.7311 -0.03976 0.7531 2.802</v>
      </c>
    </row>
    <row r="11" spans="2:5" x14ac:dyDescent="0.45">
      <c r="E11" s="9" t="str">
        <v>loge(sd) -0.9689 -0.6359 -0.33365 0.2364 4.845</v>
      </c>
    </row>
    <row r="12" spans="2:5" x14ac:dyDescent="0.45">
      <c r="E12" s="9" t="str">
        <v/>
      </c>
    </row>
    <row r="13" spans="2:5" x14ac:dyDescent="0.45">
      <c r="E13" s="9" t="str">
        <v xml:space="preserve">Coefficients: </v>
      </c>
    </row>
    <row r="14" spans="2:5" x14ac:dyDescent="0.45">
      <c r="E14" s="9" t="str">
        <v xml:space="preserve">                Estimate Std. Error z value Pr(&gt;|z|)    </v>
      </c>
    </row>
    <row r="15" spans="2:5" x14ac:dyDescent="0.45">
      <c r="E15" s="9" t="str">
        <v>(Intercept):1  209.55956   32.54590   6.439 1.20e-10 ***</v>
      </c>
    </row>
    <row r="16" spans="2:5" x14ac:dyDescent="0.45">
      <c r="E16" s="9" t="str">
        <v>(Intercept):2    4.18476    0.05235  79.944  &lt; 2e-16 ***</v>
      </c>
    </row>
    <row r="17" spans="5:5" x14ac:dyDescent="0.45">
      <c r="E17" s="9" t="str">
        <v>read             2.69796    0.61928   4.357 1.32e-05 ***</v>
      </c>
    </row>
    <row r="18" spans="5:5" x14ac:dyDescent="0.45">
      <c r="E18" s="9" t="str">
        <v>math             5.91460    0.70539   8.385  &lt; 2e-16 ***</v>
      </c>
    </row>
    <row r="19" spans="5:5" x14ac:dyDescent="0.45">
      <c r="E19" s="9" t="str">
        <v xml:space="preserve">proggeneral    -12.71458   12.40857  -1.025 0.305523    </v>
      </c>
    </row>
    <row r="20" spans="5:5" x14ac:dyDescent="0.45">
      <c r="E20" s="9" t="str">
        <v>progvocational -46.14327   13.70667  -3.366 0.000761 ***</v>
      </c>
    </row>
    <row r="21" spans="5:5" x14ac:dyDescent="0.45">
      <c r="E21" s="9" t="str">
        <v>---</v>
      </c>
    </row>
    <row r="22" spans="5:5" x14ac:dyDescent="0.45">
      <c r="E22" s="9" t="str">
        <v>Signif. codes:  0 '***' 0.001 '**' 0.01 '*' 0.05 '.' 0.1 ' ' 1</v>
      </c>
    </row>
    <row r="23" spans="5:5" x14ac:dyDescent="0.45">
      <c r="E23" s="9" t="str">
        <v/>
      </c>
    </row>
    <row r="24" spans="5:5" x14ac:dyDescent="0.45">
      <c r="E24" s="9" t="str">
        <v xml:space="preserve">Number of linear predictors:  2 </v>
      </c>
    </row>
    <row r="25" spans="5:5" x14ac:dyDescent="0.45">
      <c r="E25" s="9" t="str">
        <v/>
      </c>
    </row>
    <row r="26" spans="5:5" x14ac:dyDescent="0.45">
      <c r="E26" s="9" t="str">
        <v>Names of linear predictors: mu, loge(sd)</v>
      </c>
    </row>
    <row r="27" spans="5:5" x14ac:dyDescent="0.45">
      <c r="E27" s="9" t="str">
        <v/>
      </c>
    </row>
    <row r="28" spans="5:5" x14ac:dyDescent="0.45">
      <c r="E28" s="9" t="str">
        <v>Log-likelihood: -1041.063 on 394 degrees of freedom</v>
      </c>
    </row>
    <row r="29" spans="5:5" x14ac:dyDescent="0.45">
      <c r="E29" s="9" t="str">
        <v/>
      </c>
    </row>
    <row r="30" spans="5:5" x14ac:dyDescent="0.45">
      <c r="E30" s="9" t="str">
        <v xml:space="preserve">Number of iterations: 5 </v>
      </c>
    </row>
    <row r="31" spans="5:5" x14ac:dyDescent="0.45">
      <c r="E31" s="9" t="str">
        <v/>
      </c>
    </row>
    <row r="32" spans="5:5" x14ac:dyDescent="0.45">
      <c r="E32" s="9" t="str">
        <v>No Hauck-Donner effect found in any of the estimates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80D5-B247-464A-A628-2610679F22BA}">
  <dimension ref="A1:H216"/>
  <sheetViews>
    <sheetView workbookViewId="0">
      <selection activeCell="B7" sqref="B7:C206"/>
    </sheetView>
  </sheetViews>
  <sheetFormatPr baseColWidth="10" defaultRowHeight="14.6" x14ac:dyDescent="0.4"/>
  <cols>
    <col min="1" max="4" width="10.69140625" style="1"/>
    <col min="5" max="5" width="10.921875" style="1" bestFit="1" customWidth="1"/>
    <col min="6" max="6" width="10.69140625" style="1"/>
  </cols>
  <sheetData>
    <row r="1" spans="1:8" x14ac:dyDescent="0.4">
      <c r="B1" s="7" t="s">
        <v>11</v>
      </c>
      <c r="C1" s="7" t="s">
        <v>10</v>
      </c>
      <c r="D1" s="7" t="s">
        <v>9</v>
      </c>
    </row>
    <row r="2" spans="1:8" x14ac:dyDescent="0.4">
      <c r="B2" s="8">
        <v>47</v>
      </c>
      <c r="C2" s="8">
        <v>49</v>
      </c>
      <c r="D2" s="8" t="s">
        <v>2</v>
      </c>
    </row>
    <row r="3" spans="1:8" x14ac:dyDescent="0.4">
      <c r="B3" s="8">
        <v>34</v>
      </c>
      <c r="C3" s="8">
        <v>45</v>
      </c>
      <c r="D3" s="8" t="s">
        <v>0</v>
      </c>
    </row>
    <row r="4" spans="1:8" x14ac:dyDescent="0.4">
      <c r="B4" s="8">
        <v>37</v>
      </c>
      <c r="C4" s="8">
        <v>45</v>
      </c>
      <c r="D4" s="8" t="s">
        <v>1</v>
      </c>
    </row>
    <row r="6" spans="1:8" x14ac:dyDescent="0.4">
      <c r="A6" s="7" t="s">
        <v>12</v>
      </c>
      <c r="B6" s="7" t="s">
        <v>11</v>
      </c>
      <c r="C6" s="7" t="s">
        <v>10</v>
      </c>
      <c r="D6" s="7" t="s">
        <v>13</v>
      </c>
      <c r="E6" s="7" t="s">
        <v>14</v>
      </c>
      <c r="F6" s="7" t="s">
        <v>9</v>
      </c>
      <c r="G6" s="7" t="s">
        <v>8</v>
      </c>
      <c r="H6" s="7" t="s">
        <v>7</v>
      </c>
    </row>
    <row r="7" spans="1:8" x14ac:dyDescent="0.4">
      <c r="A7" s="4">
        <v>1</v>
      </c>
      <c r="B7" s="4">
        <v>34</v>
      </c>
      <c r="C7" s="4">
        <v>40</v>
      </c>
      <c r="D7" s="10">
        <f>IF(F7="general",1,0)</f>
        <v>0</v>
      </c>
      <c r="E7" s="4">
        <f>IF(F7="vocational",1,0)</f>
        <v>1</v>
      </c>
      <c r="F7" s="4" t="s">
        <v>1</v>
      </c>
      <c r="G7">
        <v>352</v>
      </c>
      <c r="H7" s="4">
        <v>0</v>
      </c>
    </row>
    <row r="8" spans="1:8" x14ac:dyDescent="0.4">
      <c r="A8" s="4">
        <v>2</v>
      </c>
      <c r="B8" s="4">
        <v>39</v>
      </c>
      <c r="C8" s="4">
        <v>33</v>
      </c>
      <c r="D8" s="10">
        <f t="shared" ref="D8:D71" si="0">IF(F8="general",1,0)</f>
        <v>0</v>
      </c>
      <c r="E8" s="4">
        <f t="shared" ref="E8:E71" si="1">IF(F8="vocational",1,0)</f>
        <v>1</v>
      </c>
      <c r="F8" s="4" t="s">
        <v>1</v>
      </c>
      <c r="G8">
        <v>449</v>
      </c>
      <c r="H8" s="4">
        <v>0</v>
      </c>
    </row>
    <row r="9" spans="1:8" x14ac:dyDescent="0.4">
      <c r="A9" s="4">
        <v>3</v>
      </c>
      <c r="B9" s="4">
        <v>63</v>
      </c>
      <c r="C9" s="4">
        <v>48</v>
      </c>
      <c r="D9" s="10">
        <f t="shared" si="0"/>
        <v>1</v>
      </c>
      <c r="E9" s="4">
        <f t="shared" si="1"/>
        <v>0</v>
      </c>
      <c r="F9" s="4" t="s">
        <v>0</v>
      </c>
      <c r="G9">
        <v>648</v>
      </c>
      <c r="H9" s="4">
        <v>0</v>
      </c>
    </row>
    <row r="10" spans="1:8" x14ac:dyDescent="0.4">
      <c r="A10" s="4">
        <v>4</v>
      </c>
      <c r="B10" s="4">
        <v>44</v>
      </c>
      <c r="C10" s="4">
        <v>41</v>
      </c>
      <c r="D10" s="10">
        <f t="shared" si="0"/>
        <v>1</v>
      </c>
      <c r="E10" s="4">
        <f t="shared" si="1"/>
        <v>0</v>
      </c>
      <c r="F10" s="4" t="s">
        <v>0</v>
      </c>
      <c r="G10">
        <v>501</v>
      </c>
      <c r="H10" s="4">
        <v>0</v>
      </c>
    </row>
    <row r="11" spans="1:8" x14ac:dyDescent="0.4">
      <c r="A11" s="4">
        <v>5</v>
      </c>
      <c r="B11" s="4">
        <v>47</v>
      </c>
      <c r="C11" s="4">
        <v>43</v>
      </c>
      <c r="D11" s="10">
        <f t="shared" si="0"/>
        <v>1</v>
      </c>
      <c r="E11" s="4">
        <f t="shared" si="1"/>
        <v>0</v>
      </c>
      <c r="F11" s="4" t="s">
        <v>0</v>
      </c>
      <c r="G11">
        <v>762</v>
      </c>
      <c r="H11" s="4">
        <v>0</v>
      </c>
    </row>
    <row r="12" spans="1:8" x14ac:dyDescent="0.4">
      <c r="A12" s="4">
        <v>6</v>
      </c>
      <c r="B12" s="4">
        <v>47</v>
      </c>
      <c r="C12" s="4">
        <v>46</v>
      </c>
      <c r="D12" s="10">
        <f t="shared" si="0"/>
        <v>1</v>
      </c>
      <c r="E12" s="4">
        <f t="shared" si="1"/>
        <v>0</v>
      </c>
      <c r="F12" s="4" t="s">
        <v>0</v>
      </c>
      <c r="G12">
        <v>658</v>
      </c>
      <c r="H12" s="4">
        <v>0</v>
      </c>
    </row>
    <row r="13" spans="1:8" x14ac:dyDescent="0.4">
      <c r="A13" s="4">
        <v>7</v>
      </c>
      <c r="B13" s="4">
        <v>57</v>
      </c>
      <c r="C13" s="4">
        <v>59</v>
      </c>
      <c r="D13" s="10">
        <f t="shared" si="0"/>
        <v>1</v>
      </c>
      <c r="E13" s="4">
        <f t="shared" si="1"/>
        <v>0</v>
      </c>
      <c r="F13" s="4" t="s">
        <v>0</v>
      </c>
      <c r="G13">
        <v>800</v>
      </c>
      <c r="H13" s="4">
        <v>0</v>
      </c>
    </row>
    <row r="14" spans="1:8" x14ac:dyDescent="0.4">
      <c r="A14" s="4">
        <v>8</v>
      </c>
      <c r="B14" s="4">
        <v>39</v>
      </c>
      <c r="C14" s="4">
        <v>52</v>
      </c>
      <c r="D14" s="10">
        <f t="shared" si="0"/>
        <v>1</v>
      </c>
      <c r="E14" s="4">
        <f t="shared" si="1"/>
        <v>0</v>
      </c>
      <c r="F14" s="4" t="s">
        <v>0</v>
      </c>
      <c r="G14">
        <v>613</v>
      </c>
      <c r="H14" s="4">
        <v>0</v>
      </c>
    </row>
    <row r="15" spans="1:8" x14ac:dyDescent="0.4">
      <c r="A15" s="4">
        <v>9</v>
      </c>
      <c r="B15" s="4">
        <v>48</v>
      </c>
      <c r="C15" s="4">
        <v>52</v>
      </c>
      <c r="D15" s="10">
        <f t="shared" si="0"/>
        <v>0</v>
      </c>
      <c r="E15" s="4">
        <f t="shared" si="1"/>
        <v>1</v>
      </c>
      <c r="F15" s="4" t="s">
        <v>1</v>
      </c>
      <c r="G15">
        <v>531</v>
      </c>
      <c r="H15" s="4">
        <v>0</v>
      </c>
    </row>
    <row r="16" spans="1:8" x14ac:dyDescent="0.4">
      <c r="A16" s="4">
        <v>10</v>
      </c>
      <c r="B16" s="4">
        <v>47</v>
      </c>
      <c r="C16" s="4">
        <v>49</v>
      </c>
      <c r="D16" s="10">
        <f t="shared" si="0"/>
        <v>0</v>
      </c>
      <c r="E16" s="4">
        <f t="shared" si="1"/>
        <v>0</v>
      </c>
      <c r="F16" s="4" t="s">
        <v>2</v>
      </c>
      <c r="G16">
        <v>528</v>
      </c>
      <c r="H16" s="4">
        <v>0</v>
      </c>
    </row>
    <row r="17" spans="1:8" x14ac:dyDescent="0.4">
      <c r="A17" s="4">
        <v>11</v>
      </c>
      <c r="B17" s="4">
        <v>34</v>
      </c>
      <c r="C17" s="4">
        <v>45</v>
      </c>
      <c r="D17" s="10">
        <f t="shared" si="0"/>
        <v>1</v>
      </c>
      <c r="E17" s="4">
        <f t="shared" si="1"/>
        <v>0</v>
      </c>
      <c r="F17" s="4" t="s">
        <v>0</v>
      </c>
      <c r="G17">
        <v>584</v>
      </c>
      <c r="H17" s="4">
        <v>0</v>
      </c>
    </row>
    <row r="18" spans="1:8" x14ac:dyDescent="0.4">
      <c r="A18" s="4">
        <v>12</v>
      </c>
      <c r="B18" s="4">
        <v>37</v>
      </c>
      <c r="C18" s="4">
        <v>45</v>
      </c>
      <c r="D18" s="10">
        <f t="shared" si="0"/>
        <v>0</v>
      </c>
      <c r="E18" s="4">
        <f t="shared" si="1"/>
        <v>1</v>
      </c>
      <c r="F18" s="4" t="s">
        <v>1</v>
      </c>
      <c r="G18">
        <v>610</v>
      </c>
      <c r="H18" s="4">
        <v>0</v>
      </c>
    </row>
    <row r="19" spans="1:8" x14ac:dyDescent="0.4">
      <c r="A19" s="4">
        <v>13</v>
      </c>
      <c r="B19" s="4">
        <v>47</v>
      </c>
      <c r="C19" s="4">
        <v>39</v>
      </c>
      <c r="D19" s="10">
        <f t="shared" si="0"/>
        <v>0</v>
      </c>
      <c r="E19" s="4">
        <f t="shared" si="1"/>
        <v>1</v>
      </c>
      <c r="F19" s="4" t="s">
        <v>1</v>
      </c>
      <c r="G19">
        <v>586</v>
      </c>
      <c r="H19" s="4">
        <v>0</v>
      </c>
    </row>
    <row r="20" spans="1:8" x14ac:dyDescent="0.4">
      <c r="A20" s="4">
        <v>14</v>
      </c>
      <c r="B20" s="4">
        <v>47</v>
      </c>
      <c r="C20" s="4">
        <v>54</v>
      </c>
      <c r="D20" s="10">
        <f t="shared" si="0"/>
        <v>1</v>
      </c>
      <c r="E20" s="4">
        <f t="shared" si="1"/>
        <v>0</v>
      </c>
      <c r="F20" s="4" t="s">
        <v>0</v>
      </c>
      <c r="G20">
        <v>769</v>
      </c>
      <c r="H20" s="4">
        <v>0</v>
      </c>
    </row>
    <row r="21" spans="1:8" x14ac:dyDescent="0.4">
      <c r="A21" s="4">
        <v>15</v>
      </c>
      <c r="B21" s="4">
        <v>39</v>
      </c>
      <c r="C21" s="4">
        <v>44</v>
      </c>
      <c r="D21" s="10">
        <f t="shared" si="0"/>
        <v>0</v>
      </c>
      <c r="E21" s="4">
        <f t="shared" si="1"/>
        <v>1</v>
      </c>
      <c r="F21" s="4" t="s">
        <v>1</v>
      </c>
      <c r="G21">
        <v>402</v>
      </c>
      <c r="H21" s="4">
        <v>0</v>
      </c>
    </row>
    <row r="22" spans="1:8" x14ac:dyDescent="0.4">
      <c r="A22" s="4">
        <v>16</v>
      </c>
      <c r="B22" s="4">
        <v>47</v>
      </c>
      <c r="C22" s="4">
        <v>44</v>
      </c>
      <c r="D22" s="10">
        <f t="shared" si="0"/>
        <v>0</v>
      </c>
      <c r="E22" s="4">
        <f t="shared" si="1"/>
        <v>1</v>
      </c>
      <c r="F22" s="4" t="s">
        <v>1</v>
      </c>
      <c r="G22">
        <v>521</v>
      </c>
      <c r="H22" s="4">
        <v>0</v>
      </c>
    </row>
    <row r="23" spans="1:8" x14ac:dyDescent="0.4">
      <c r="A23" s="4">
        <v>17</v>
      </c>
      <c r="B23" s="4">
        <v>47</v>
      </c>
      <c r="C23" s="4">
        <v>48</v>
      </c>
      <c r="D23" s="10">
        <f t="shared" si="0"/>
        <v>1</v>
      </c>
      <c r="E23" s="4">
        <f t="shared" si="1"/>
        <v>0</v>
      </c>
      <c r="F23" s="4" t="s">
        <v>0</v>
      </c>
      <c r="G23">
        <v>478</v>
      </c>
      <c r="H23" s="4">
        <v>0</v>
      </c>
    </row>
    <row r="24" spans="1:8" x14ac:dyDescent="0.4">
      <c r="A24" s="4">
        <v>18</v>
      </c>
      <c r="B24" s="4">
        <v>50</v>
      </c>
      <c r="C24" s="4">
        <v>49</v>
      </c>
      <c r="D24" s="10">
        <f t="shared" si="0"/>
        <v>0</v>
      </c>
      <c r="E24" s="4">
        <f t="shared" si="1"/>
        <v>1</v>
      </c>
      <c r="F24" s="4" t="s">
        <v>1</v>
      </c>
      <c r="G24">
        <v>629</v>
      </c>
      <c r="H24" s="4">
        <v>0</v>
      </c>
    </row>
    <row r="25" spans="1:8" x14ac:dyDescent="0.4">
      <c r="A25" s="4">
        <v>19</v>
      </c>
      <c r="B25" s="4">
        <v>28</v>
      </c>
      <c r="C25" s="4">
        <v>43</v>
      </c>
      <c r="D25" s="10">
        <f t="shared" si="0"/>
        <v>0</v>
      </c>
      <c r="E25" s="4">
        <f t="shared" si="1"/>
        <v>0</v>
      </c>
      <c r="F25" s="4" t="s">
        <v>2</v>
      </c>
      <c r="G25">
        <v>603</v>
      </c>
      <c r="H25" s="4">
        <v>0</v>
      </c>
    </row>
    <row r="26" spans="1:8" x14ac:dyDescent="0.4">
      <c r="A26" s="4">
        <v>20</v>
      </c>
      <c r="B26" s="4">
        <v>60</v>
      </c>
      <c r="C26" s="4">
        <v>57</v>
      </c>
      <c r="D26" s="10">
        <f t="shared" si="0"/>
        <v>1</v>
      </c>
      <c r="E26" s="4">
        <f t="shared" si="1"/>
        <v>0</v>
      </c>
      <c r="F26" s="4" t="s">
        <v>0</v>
      </c>
      <c r="G26">
        <v>633</v>
      </c>
      <c r="H26" s="4">
        <v>0</v>
      </c>
    </row>
    <row r="27" spans="1:8" x14ac:dyDescent="0.4">
      <c r="A27" s="4">
        <v>21</v>
      </c>
      <c r="B27" s="4">
        <v>44</v>
      </c>
      <c r="C27" s="4">
        <v>61</v>
      </c>
      <c r="D27" s="10">
        <f t="shared" si="0"/>
        <v>0</v>
      </c>
      <c r="E27" s="4">
        <f t="shared" si="1"/>
        <v>0</v>
      </c>
      <c r="F27" s="4" t="s">
        <v>2</v>
      </c>
      <c r="G27">
        <v>724</v>
      </c>
      <c r="H27" s="4">
        <v>0</v>
      </c>
    </row>
    <row r="28" spans="1:8" x14ac:dyDescent="0.4">
      <c r="A28" s="4">
        <v>22</v>
      </c>
      <c r="B28" s="4">
        <v>42</v>
      </c>
      <c r="C28" s="4">
        <v>39</v>
      </c>
      <c r="D28" s="10">
        <f t="shared" si="0"/>
        <v>0</v>
      </c>
      <c r="E28" s="4">
        <f t="shared" si="1"/>
        <v>1</v>
      </c>
      <c r="F28" s="4" t="s">
        <v>1</v>
      </c>
      <c r="G28">
        <v>515</v>
      </c>
      <c r="H28" s="4">
        <v>0</v>
      </c>
    </row>
    <row r="29" spans="1:8" x14ac:dyDescent="0.4">
      <c r="A29" s="4">
        <v>23</v>
      </c>
      <c r="B29" s="4">
        <v>65</v>
      </c>
      <c r="C29" s="4">
        <v>64</v>
      </c>
      <c r="D29" s="10">
        <f t="shared" si="0"/>
        <v>1</v>
      </c>
      <c r="E29" s="4">
        <f t="shared" si="1"/>
        <v>0</v>
      </c>
      <c r="F29" s="4" t="s">
        <v>0</v>
      </c>
      <c r="G29">
        <v>748</v>
      </c>
      <c r="H29" s="4">
        <v>0</v>
      </c>
    </row>
    <row r="30" spans="1:8" x14ac:dyDescent="0.4">
      <c r="A30" s="4">
        <v>24</v>
      </c>
      <c r="B30" s="4">
        <v>52</v>
      </c>
      <c r="C30" s="4">
        <v>66</v>
      </c>
      <c r="D30" s="10">
        <f t="shared" si="0"/>
        <v>1</v>
      </c>
      <c r="E30" s="4">
        <f t="shared" si="1"/>
        <v>0</v>
      </c>
      <c r="F30" s="4" t="s">
        <v>0</v>
      </c>
      <c r="G30">
        <v>634</v>
      </c>
      <c r="H30" s="4">
        <v>0</v>
      </c>
    </row>
    <row r="31" spans="1:8" x14ac:dyDescent="0.4">
      <c r="A31" s="4">
        <v>25</v>
      </c>
      <c r="B31" s="4">
        <v>47</v>
      </c>
      <c r="C31" s="4">
        <v>42</v>
      </c>
      <c r="D31" s="10">
        <f t="shared" si="0"/>
        <v>0</v>
      </c>
      <c r="E31" s="4">
        <f t="shared" si="1"/>
        <v>0</v>
      </c>
      <c r="F31" s="4" t="s">
        <v>2</v>
      </c>
      <c r="G31">
        <v>630</v>
      </c>
      <c r="H31" s="4">
        <v>0</v>
      </c>
    </row>
    <row r="32" spans="1:8" x14ac:dyDescent="0.4">
      <c r="A32" s="4">
        <v>26</v>
      </c>
      <c r="B32" s="4">
        <v>60</v>
      </c>
      <c r="C32" s="4">
        <v>62</v>
      </c>
      <c r="D32" s="10">
        <f t="shared" si="0"/>
        <v>1</v>
      </c>
      <c r="E32" s="4">
        <f t="shared" si="1"/>
        <v>0</v>
      </c>
      <c r="F32" s="4" t="s">
        <v>0</v>
      </c>
      <c r="G32">
        <v>800</v>
      </c>
      <c r="H32" s="4">
        <v>0</v>
      </c>
    </row>
    <row r="33" spans="1:8" x14ac:dyDescent="0.4">
      <c r="A33" s="4">
        <v>27</v>
      </c>
      <c r="B33" s="4">
        <v>53</v>
      </c>
      <c r="C33" s="4">
        <v>61</v>
      </c>
      <c r="D33" s="10">
        <f t="shared" si="0"/>
        <v>1</v>
      </c>
      <c r="E33" s="4">
        <f t="shared" si="1"/>
        <v>0</v>
      </c>
      <c r="F33" s="4" t="s">
        <v>0</v>
      </c>
      <c r="G33">
        <v>652</v>
      </c>
      <c r="H33" s="4">
        <v>0</v>
      </c>
    </row>
    <row r="34" spans="1:8" x14ac:dyDescent="0.4">
      <c r="A34" s="4">
        <v>28</v>
      </c>
      <c r="B34" s="4">
        <v>39</v>
      </c>
      <c r="C34" s="4">
        <v>54</v>
      </c>
      <c r="D34" s="10">
        <f t="shared" si="0"/>
        <v>0</v>
      </c>
      <c r="E34" s="4">
        <f t="shared" si="1"/>
        <v>0</v>
      </c>
      <c r="F34" s="4" t="s">
        <v>2</v>
      </c>
      <c r="G34">
        <v>621</v>
      </c>
      <c r="H34" s="4">
        <v>0</v>
      </c>
    </row>
    <row r="35" spans="1:8" x14ac:dyDescent="0.4">
      <c r="A35" s="4">
        <v>29</v>
      </c>
      <c r="B35" s="4">
        <v>52</v>
      </c>
      <c r="C35" s="4">
        <v>49</v>
      </c>
      <c r="D35" s="10">
        <f t="shared" si="0"/>
        <v>0</v>
      </c>
      <c r="E35" s="4">
        <f t="shared" si="1"/>
        <v>0</v>
      </c>
      <c r="F35" s="4" t="s">
        <v>2</v>
      </c>
      <c r="G35">
        <v>683</v>
      </c>
      <c r="H35" s="4">
        <v>0</v>
      </c>
    </row>
    <row r="36" spans="1:8" x14ac:dyDescent="0.4">
      <c r="A36" s="4">
        <v>30</v>
      </c>
      <c r="B36" s="4">
        <v>41</v>
      </c>
      <c r="C36" s="4">
        <v>42</v>
      </c>
      <c r="D36" s="10">
        <f t="shared" si="0"/>
        <v>1</v>
      </c>
      <c r="E36" s="4">
        <f t="shared" si="1"/>
        <v>0</v>
      </c>
      <c r="F36" s="4" t="s">
        <v>0</v>
      </c>
      <c r="G36">
        <v>531</v>
      </c>
      <c r="H36" s="4">
        <v>0</v>
      </c>
    </row>
    <row r="37" spans="1:8" x14ac:dyDescent="0.4">
      <c r="A37" s="4">
        <v>31</v>
      </c>
      <c r="B37" s="4">
        <v>55</v>
      </c>
      <c r="C37" s="4">
        <v>52</v>
      </c>
      <c r="D37" s="10">
        <f t="shared" si="0"/>
        <v>0</v>
      </c>
      <c r="E37" s="4">
        <f t="shared" si="1"/>
        <v>0</v>
      </c>
      <c r="F37" s="4" t="s">
        <v>2</v>
      </c>
      <c r="G37">
        <v>625</v>
      </c>
      <c r="H37" s="4">
        <v>0</v>
      </c>
    </row>
    <row r="38" spans="1:8" x14ac:dyDescent="0.4">
      <c r="A38" s="4">
        <v>32</v>
      </c>
      <c r="B38" s="4">
        <v>50</v>
      </c>
      <c r="C38" s="4">
        <v>66</v>
      </c>
      <c r="D38" s="10">
        <f t="shared" si="0"/>
        <v>0</v>
      </c>
      <c r="E38" s="4">
        <f t="shared" si="1"/>
        <v>1</v>
      </c>
      <c r="F38" s="4" t="s">
        <v>1</v>
      </c>
      <c r="G38">
        <v>605</v>
      </c>
      <c r="H38" s="4">
        <v>0</v>
      </c>
    </row>
    <row r="39" spans="1:8" x14ac:dyDescent="0.4">
      <c r="A39" s="4">
        <v>33</v>
      </c>
      <c r="B39" s="4">
        <v>57</v>
      </c>
      <c r="C39" s="4">
        <v>72</v>
      </c>
      <c r="D39" s="10">
        <f t="shared" si="0"/>
        <v>1</v>
      </c>
      <c r="E39" s="4">
        <f t="shared" si="1"/>
        <v>0</v>
      </c>
      <c r="F39" s="4" t="s">
        <v>0</v>
      </c>
      <c r="G39">
        <v>698</v>
      </c>
      <c r="H39" s="4">
        <v>0</v>
      </c>
    </row>
    <row r="40" spans="1:8" x14ac:dyDescent="0.4">
      <c r="A40" s="4">
        <v>34</v>
      </c>
      <c r="B40" s="4">
        <v>73</v>
      </c>
      <c r="C40" s="4">
        <v>57</v>
      </c>
      <c r="D40" s="10">
        <f t="shared" si="0"/>
        <v>1</v>
      </c>
      <c r="E40" s="4">
        <f t="shared" si="1"/>
        <v>0</v>
      </c>
      <c r="F40" s="4" t="s">
        <v>0</v>
      </c>
      <c r="G40">
        <v>679</v>
      </c>
      <c r="H40" s="4">
        <v>0</v>
      </c>
    </row>
    <row r="41" spans="1:8" x14ac:dyDescent="0.4">
      <c r="A41" s="4">
        <v>35</v>
      </c>
      <c r="B41" s="4">
        <v>60</v>
      </c>
      <c r="C41" s="4">
        <v>50</v>
      </c>
      <c r="D41" s="10">
        <f t="shared" si="0"/>
        <v>0</v>
      </c>
      <c r="E41" s="4">
        <f t="shared" si="1"/>
        <v>0</v>
      </c>
      <c r="F41" s="4" t="s">
        <v>2</v>
      </c>
      <c r="G41">
        <v>691</v>
      </c>
      <c r="H41" s="4">
        <v>0</v>
      </c>
    </row>
    <row r="42" spans="1:8" x14ac:dyDescent="0.4">
      <c r="A42" s="4">
        <v>36</v>
      </c>
      <c r="B42" s="4">
        <v>44</v>
      </c>
      <c r="C42" s="4">
        <v>44</v>
      </c>
      <c r="D42" s="10">
        <f t="shared" si="0"/>
        <v>0</v>
      </c>
      <c r="E42" s="4">
        <f t="shared" si="1"/>
        <v>0</v>
      </c>
      <c r="F42" s="4" t="s">
        <v>2</v>
      </c>
      <c r="G42">
        <v>612</v>
      </c>
      <c r="H42" s="4">
        <v>0</v>
      </c>
    </row>
    <row r="43" spans="1:8" x14ac:dyDescent="0.4">
      <c r="A43" s="4">
        <v>37</v>
      </c>
      <c r="B43" s="4">
        <v>41</v>
      </c>
      <c r="C43" s="4">
        <v>40</v>
      </c>
      <c r="D43" s="10">
        <f t="shared" si="0"/>
        <v>0</v>
      </c>
      <c r="E43" s="4">
        <f t="shared" si="1"/>
        <v>1</v>
      </c>
      <c r="F43" s="4" t="s">
        <v>1</v>
      </c>
      <c r="G43">
        <v>572</v>
      </c>
      <c r="H43" s="4">
        <v>0</v>
      </c>
    </row>
    <row r="44" spans="1:8" x14ac:dyDescent="0.4">
      <c r="A44" s="4">
        <v>38</v>
      </c>
      <c r="B44" s="4">
        <v>45</v>
      </c>
      <c r="C44" s="4">
        <v>50</v>
      </c>
      <c r="D44" s="10">
        <f t="shared" si="0"/>
        <v>1</v>
      </c>
      <c r="E44" s="4">
        <f t="shared" si="1"/>
        <v>0</v>
      </c>
      <c r="F44" s="4" t="s">
        <v>0</v>
      </c>
      <c r="G44">
        <v>625</v>
      </c>
      <c r="H44" s="4">
        <v>0</v>
      </c>
    </row>
    <row r="45" spans="1:8" x14ac:dyDescent="0.4">
      <c r="A45" s="4">
        <v>39</v>
      </c>
      <c r="B45" s="4">
        <v>66</v>
      </c>
      <c r="C45" s="4">
        <v>67</v>
      </c>
      <c r="D45" s="10">
        <f t="shared" si="0"/>
        <v>1</v>
      </c>
      <c r="E45" s="4">
        <f t="shared" si="1"/>
        <v>0</v>
      </c>
      <c r="F45" s="4" t="s">
        <v>0</v>
      </c>
      <c r="G45">
        <v>734</v>
      </c>
      <c r="H45" s="4">
        <v>0</v>
      </c>
    </row>
    <row r="46" spans="1:8" x14ac:dyDescent="0.4">
      <c r="A46" s="4">
        <v>40</v>
      </c>
      <c r="B46" s="4">
        <v>42</v>
      </c>
      <c r="C46" s="4">
        <v>43</v>
      </c>
      <c r="D46" s="10">
        <f t="shared" si="0"/>
        <v>0</v>
      </c>
      <c r="E46" s="4">
        <f t="shared" si="1"/>
        <v>0</v>
      </c>
      <c r="F46" s="4" t="s">
        <v>2</v>
      </c>
      <c r="G46">
        <v>551</v>
      </c>
      <c r="H46" s="4">
        <v>0</v>
      </c>
    </row>
    <row r="47" spans="1:8" x14ac:dyDescent="0.4">
      <c r="A47" s="4">
        <v>41</v>
      </c>
      <c r="B47" s="4">
        <v>50</v>
      </c>
      <c r="C47" s="4">
        <v>45</v>
      </c>
      <c r="D47" s="10">
        <f t="shared" si="0"/>
        <v>1</v>
      </c>
      <c r="E47" s="4">
        <f t="shared" si="1"/>
        <v>0</v>
      </c>
      <c r="F47" s="4" t="s">
        <v>0</v>
      </c>
      <c r="G47">
        <v>549</v>
      </c>
      <c r="H47" s="4">
        <v>0</v>
      </c>
    </row>
    <row r="48" spans="1:8" x14ac:dyDescent="0.4">
      <c r="A48" s="4">
        <v>42</v>
      </c>
      <c r="B48" s="4">
        <v>46</v>
      </c>
      <c r="C48" s="4">
        <v>55</v>
      </c>
      <c r="D48" s="10">
        <f t="shared" si="0"/>
        <v>0</v>
      </c>
      <c r="E48" s="4">
        <f t="shared" si="1"/>
        <v>1</v>
      </c>
      <c r="F48" s="4" t="s">
        <v>1</v>
      </c>
      <c r="G48">
        <v>622</v>
      </c>
      <c r="H48" s="4">
        <v>0</v>
      </c>
    </row>
    <row r="49" spans="1:8" x14ac:dyDescent="0.4">
      <c r="A49" s="4">
        <v>43</v>
      </c>
      <c r="B49" s="4">
        <v>47</v>
      </c>
      <c r="C49" s="4">
        <v>43</v>
      </c>
      <c r="D49" s="10">
        <f t="shared" si="0"/>
        <v>1</v>
      </c>
      <c r="E49" s="4">
        <f t="shared" si="1"/>
        <v>0</v>
      </c>
      <c r="F49" s="4" t="s">
        <v>0</v>
      </c>
      <c r="G49">
        <v>557</v>
      </c>
      <c r="H49" s="4">
        <v>0</v>
      </c>
    </row>
    <row r="50" spans="1:8" x14ac:dyDescent="0.4">
      <c r="A50" s="4">
        <v>44</v>
      </c>
      <c r="B50" s="4">
        <v>47</v>
      </c>
      <c r="C50" s="4">
        <v>45</v>
      </c>
      <c r="D50" s="10">
        <f t="shared" si="0"/>
        <v>0</v>
      </c>
      <c r="E50" s="4">
        <f t="shared" si="1"/>
        <v>1</v>
      </c>
      <c r="F50" s="4" t="s">
        <v>1</v>
      </c>
      <c r="G50">
        <v>678</v>
      </c>
      <c r="H50" s="4">
        <v>0</v>
      </c>
    </row>
    <row r="51" spans="1:8" x14ac:dyDescent="0.4">
      <c r="A51" s="4">
        <v>45</v>
      </c>
      <c r="B51" s="4">
        <v>34</v>
      </c>
      <c r="C51" s="4">
        <v>41</v>
      </c>
      <c r="D51" s="10">
        <f t="shared" si="0"/>
        <v>0</v>
      </c>
      <c r="E51" s="4">
        <f t="shared" si="1"/>
        <v>1</v>
      </c>
      <c r="F51" s="4" t="s">
        <v>1</v>
      </c>
      <c r="G51">
        <v>467</v>
      </c>
      <c r="H51" s="4">
        <v>0</v>
      </c>
    </row>
    <row r="52" spans="1:8" x14ac:dyDescent="0.4">
      <c r="A52" s="4">
        <v>46</v>
      </c>
      <c r="B52" s="4">
        <v>45</v>
      </c>
      <c r="C52" s="4">
        <v>44</v>
      </c>
      <c r="D52" s="10">
        <f t="shared" si="0"/>
        <v>1</v>
      </c>
      <c r="E52" s="4">
        <f t="shared" si="1"/>
        <v>0</v>
      </c>
      <c r="F52" s="4" t="s">
        <v>0</v>
      </c>
      <c r="G52">
        <v>631</v>
      </c>
      <c r="H52" s="4">
        <v>0</v>
      </c>
    </row>
    <row r="53" spans="1:8" x14ac:dyDescent="0.4">
      <c r="A53" s="4">
        <v>47</v>
      </c>
      <c r="B53" s="4">
        <v>47</v>
      </c>
      <c r="C53" s="4">
        <v>49</v>
      </c>
      <c r="D53" s="10">
        <f t="shared" si="0"/>
        <v>1</v>
      </c>
      <c r="E53" s="4">
        <f t="shared" si="1"/>
        <v>0</v>
      </c>
      <c r="F53" s="4" t="s">
        <v>0</v>
      </c>
      <c r="G53">
        <v>625</v>
      </c>
      <c r="H53" s="4">
        <v>0</v>
      </c>
    </row>
    <row r="54" spans="1:8" x14ac:dyDescent="0.4">
      <c r="A54" s="4">
        <v>48</v>
      </c>
      <c r="B54" s="4">
        <v>57</v>
      </c>
      <c r="C54" s="4">
        <v>52</v>
      </c>
      <c r="D54" s="10">
        <f t="shared" si="0"/>
        <v>1</v>
      </c>
      <c r="E54" s="4">
        <f t="shared" si="1"/>
        <v>0</v>
      </c>
      <c r="F54" s="4" t="s">
        <v>0</v>
      </c>
      <c r="G54">
        <v>584</v>
      </c>
      <c r="H54" s="4">
        <v>0</v>
      </c>
    </row>
    <row r="55" spans="1:8" x14ac:dyDescent="0.4">
      <c r="A55" s="4">
        <v>49</v>
      </c>
      <c r="B55" s="4">
        <v>50</v>
      </c>
      <c r="C55" s="4">
        <v>39</v>
      </c>
      <c r="D55" s="10">
        <f t="shared" si="0"/>
        <v>0</v>
      </c>
      <c r="E55" s="4">
        <f t="shared" si="1"/>
        <v>1</v>
      </c>
      <c r="F55" s="4" t="s">
        <v>1</v>
      </c>
      <c r="G55">
        <v>485</v>
      </c>
      <c r="H55" s="4">
        <v>0</v>
      </c>
    </row>
    <row r="56" spans="1:8" x14ac:dyDescent="0.4">
      <c r="A56" s="4">
        <v>50</v>
      </c>
      <c r="B56" s="4">
        <v>50</v>
      </c>
      <c r="C56" s="4">
        <v>42</v>
      </c>
      <c r="D56" s="10">
        <f t="shared" si="0"/>
        <v>0</v>
      </c>
      <c r="E56" s="4">
        <f t="shared" si="1"/>
        <v>0</v>
      </c>
      <c r="F56" s="4" t="s">
        <v>2</v>
      </c>
      <c r="G56">
        <v>568</v>
      </c>
      <c r="H56" s="4">
        <v>0</v>
      </c>
    </row>
    <row r="57" spans="1:8" x14ac:dyDescent="0.4">
      <c r="A57" s="4">
        <v>51</v>
      </c>
      <c r="B57" s="4">
        <v>42</v>
      </c>
      <c r="C57" s="4">
        <v>42</v>
      </c>
      <c r="D57" s="10">
        <f t="shared" si="0"/>
        <v>0</v>
      </c>
      <c r="E57" s="4">
        <f t="shared" si="1"/>
        <v>0</v>
      </c>
      <c r="F57" s="4" t="s">
        <v>2</v>
      </c>
      <c r="G57">
        <v>593</v>
      </c>
      <c r="H57" s="4">
        <v>0</v>
      </c>
    </row>
    <row r="58" spans="1:8" x14ac:dyDescent="0.4">
      <c r="A58" s="4">
        <v>52</v>
      </c>
      <c r="B58" s="4">
        <v>50</v>
      </c>
      <c r="C58" s="4">
        <v>53</v>
      </c>
      <c r="D58" s="10">
        <f t="shared" si="0"/>
        <v>1</v>
      </c>
      <c r="E58" s="4">
        <f t="shared" si="1"/>
        <v>0</v>
      </c>
      <c r="F58" s="4" t="s">
        <v>0</v>
      </c>
      <c r="G58">
        <v>590</v>
      </c>
      <c r="H58" s="4">
        <v>0</v>
      </c>
    </row>
    <row r="59" spans="1:8" x14ac:dyDescent="0.4">
      <c r="A59" s="4">
        <v>53</v>
      </c>
      <c r="B59" s="4">
        <v>34</v>
      </c>
      <c r="C59" s="4">
        <v>46</v>
      </c>
      <c r="D59" s="10">
        <f t="shared" si="0"/>
        <v>0</v>
      </c>
      <c r="E59" s="4">
        <f t="shared" si="1"/>
        <v>1</v>
      </c>
      <c r="F59" s="4" t="s">
        <v>1</v>
      </c>
      <c r="G59">
        <v>529</v>
      </c>
      <c r="H59" s="4">
        <v>0</v>
      </c>
    </row>
    <row r="60" spans="1:8" x14ac:dyDescent="0.4">
      <c r="A60" s="4">
        <v>54</v>
      </c>
      <c r="B60" s="4">
        <v>47</v>
      </c>
      <c r="C60" s="4">
        <v>46</v>
      </c>
      <c r="D60" s="10">
        <f t="shared" si="0"/>
        <v>0</v>
      </c>
      <c r="E60" s="4">
        <f t="shared" si="1"/>
        <v>0</v>
      </c>
      <c r="F60" s="4" t="s">
        <v>2</v>
      </c>
      <c r="G60">
        <v>661</v>
      </c>
      <c r="H60" s="4">
        <v>0</v>
      </c>
    </row>
    <row r="61" spans="1:8" x14ac:dyDescent="0.4">
      <c r="A61" s="4">
        <v>55</v>
      </c>
      <c r="B61" s="4">
        <v>52</v>
      </c>
      <c r="C61" s="4">
        <v>49</v>
      </c>
      <c r="D61" s="10">
        <f t="shared" si="0"/>
        <v>1</v>
      </c>
      <c r="E61" s="4">
        <f t="shared" si="1"/>
        <v>0</v>
      </c>
      <c r="F61" s="4" t="s">
        <v>0</v>
      </c>
      <c r="G61">
        <v>579</v>
      </c>
      <c r="H61" s="4">
        <v>0</v>
      </c>
    </row>
    <row r="62" spans="1:8" x14ac:dyDescent="0.4">
      <c r="A62" s="4">
        <v>56</v>
      </c>
      <c r="B62" s="4">
        <v>55</v>
      </c>
      <c r="C62" s="4">
        <v>46</v>
      </c>
      <c r="D62" s="10">
        <f t="shared" si="0"/>
        <v>0</v>
      </c>
      <c r="E62" s="4">
        <f t="shared" si="1"/>
        <v>1</v>
      </c>
      <c r="F62" s="4" t="s">
        <v>1</v>
      </c>
      <c r="G62">
        <v>502</v>
      </c>
      <c r="H62" s="4">
        <v>0</v>
      </c>
    </row>
    <row r="63" spans="1:8" x14ac:dyDescent="0.4">
      <c r="A63" s="4">
        <v>57</v>
      </c>
      <c r="B63" s="4">
        <v>71</v>
      </c>
      <c r="C63" s="4">
        <v>72</v>
      </c>
      <c r="D63" s="10">
        <f t="shared" si="0"/>
        <v>1</v>
      </c>
      <c r="E63" s="4">
        <f t="shared" si="1"/>
        <v>0</v>
      </c>
      <c r="F63" s="4" t="s">
        <v>0</v>
      </c>
      <c r="G63">
        <v>794</v>
      </c>
      <c r="H63" s="4">
        <v>0</v>
      </c>
    </row>
    <row r="64" spans="1:8" x14ac:dyDescent="0.4">
      <c r="A64" s="4">
        <v>58</v>
      </c>
      <c r="B64" s="4">
        <v>55</v>
      </c>
      <c r="C64" s="4">
        <v>40</v>
      </c>
      <c r="D64" s="10">
        <f t="shared" si="0"/>
        <v>0</v>
      </c>
      <c r="E64" s="4">
        <f t="shared" si="1"/>
        <v>1</v>
      </c>
      <c r="F64" s="4" t="s">
        <v>1</v>
      </c>
      <c r="G64">
        <v>529</v>
      </c>
      <c r="H64" s="4">
        <v>0</v>
      </c>
    </row>
    <row r="65" spans="1:8" x14ac:dyDescent="0.4">
      <c r="A65" s="4">
        <v>59</v>
      </c>
      <c r="B65" s="4">
        <v>65</v>
      </c>
      <c r="C65" s="4">
        <v>63</v>
      </c>
      <c r="D65" s="10">
        <f t="shared" si="0"/>
        <v>1</v>
      </c>
      <c r="E65" s="4">
        <f t="shared" si="1"/>
        <v>0</v>
      </c>
      <c r="F65" s="4" t="s">
        <v>0</v>
      </c>
      <c r="G65">
        <v>703</v>
      </c>
      <c r="H65" s="4">
        <v>0</v>
      </c>
    </row>
    <row r="66" spans="1:8" x14ac:dyDescent="0.4">
      <c r="A66" s="4">
        <v>60</v>
      </c>
      <c r="B66" s="4">
        <v>57</v>
      </c>
      <c r="C66" s="4">
        <v>51</v>
      </c>
      <c r="D66" s="10">
        <f t="shared" si="0"/>
        <v>1</v>
      </c>
      <c r="E66" s="4">
        <f t="shared" si="1"/>
        <v>0</v>
      </c>
      <c r="F66" s="4" t="s">
        <v>0</v>
      </c>
      <c r="G66">
        <v>635</v>
      </c>
      <c r="H66" s="4">
        <v>0</v>
      </c>
    </row>
    <row r="67" spans="1:8" x14ac:dyDescent="0.4">
      <c r="A67" s="4">
        <v>61</v>
      </c>
      <c r="B67" s="4">
        <v>76</v>
      </c>
      <c r="C67" s="4">
        <v>60</v>
      </c>
      <c r="D67" s="10">
        <f t="shared" si="0"/>
        <v>1</v>
      </c>
      <c r="E67" s="4">
        <f t="shared" si="1"/>
        <v>0</v>
      </c>
      <c r="F67" s="4" t="s">
        <v>0</v>
      </c>
      <c r="G67">
        <v>765</v>
      </c>
      <c r="H67" s="4">
        <v>0</v>
      </c>
    </row>
    <row r="68" spans="1:8" x14ac:dyDescent="0.4">
      <c r="A68" s="4">
        <v>62</v>
      </c>
      <c r="B68" s="4">
        <v>65</v>
      </c>
      <c r="C68" s="4">
        <v>48</v>
      </c>
      <c r="D68" s="10">
        <f t="shared" si="0"/>
        <v>0</v>
      </c>
      <c r="E68" s="4">
        <f t="shared" si="1"/>
        <v>0</v>
      </c>
      <c r="F68" s="4" t="s">
        <v>2</v>
      </c>
      <c r="G68">
        <v>732</v>
      </c>
      <c r="H68" s="4">
        <v>0</v>
      </c>
    </row>
    <row r="69" spans="1:8" x14ac:dyDescent="0.4">
      <c r="A69" s="4">
        <v>63</v>
      </c>
      <c r="B69" s="4">
        <v>52</v>
      </c>
      <c r="C69" s="4">
        <v>60</v>
      </c>
      <c r="D69" s="10">
        <f t="shared" si="0"/>
        <v>0</v>
      </c>
      <c r="E69" s="4">
        <f t="shared" si="1"/>
        <v>0</v>
      </c>
      <c r="F69" s="4" t="s">
        <v>2</v>
      </c>
      <c r="G69">
        <v>537</v>
      </c>
      <c r="H69" s="4">
        <v>0</v>
      </c>
    </row>
    <row r="70" spans="1:8" x14ac:dyDescent="0.4">
      <c r="A70" s="4">
        <v>64</v>
      </c>
      <c r="B70" s="4">
        <v>50</v>
      </c>
      <c r="C70" s="4">
        <v>45</v>
      </c>
      <c r="D70" s="10">
        <f t="shared" si="0"/>
        <v>0</v>
      </c>
      <c r="E70" s="4">
        <f t="shared" si="1"/>
        <v>1</v>
      </c>
      <c r="F70" s="4" t="s">
        <v>1</v>
      </c>
      <c r="G70">
        <v>648</v>
      </c>
      <c r="H70" s="4">
        <v>0</v>
      </c>
    </row>
    <row r="71" spans="1:8" x14ac:dyDescent="0.4">
      <c r="A71" s="4">
        <v>65</v>
      </c>
      <c r="B71" s="4">
        <v>55</v>
      </c>
      <c r="C71" s="4">
        <v>66</v>
      </c>
      <c r="D71" s="10">
        <f t="shared" si="0"/>
        <v>1</v>
      </c>
      <c r="E71" s="4">
        <f t="shared" si="1"/>
        <v>0</v>
      </c>
      <c r="F71" s="4" t="s">
        <v>0</v>
      </c>
      <c r="G71">
        <v>667</v>
      </c>
      <c r="H71" s="4">
        <v>0</v>
      </c>
    </row>
    <row r="72" spans="1:8" x14ac:dyDescent="0.4">
      <c r="A72" s="4">
        <v>66</v>
      </c>
      <c r="B72" s="4">
        <v>68</v>
      </c>
      <c r="C72" s="4">
        <v>56</v>
      </c>
      <c r="D72" s="10">
        <f t="shared" ref="D72:D135" si="2">IF(F72="general",1,0)</f>
        <v>0</v>
      </c>
      <c r="E72" s="4">
        <f t="shared" ref="E72:E135" si="3">IF(F72="vocational",1,0)</f>
        <v>1</v>
      </c>
      <c r="F72" s="4" t="s">
        <v>1</v>
      </c>
      <c r="G72">
        <v>576</v>
      </c>
      <c r="H72" s="4">
        <v>0</v>
      </c>
    </row>
    <row r="73" spans="1:8" x14ac:dyDescent="0.4">
      <c r="A73" s="4">
        <v>67</v>
      </c>
      <c r="B73" s="4">
        <v>37</v>
      </c>
      <c r="C73" s="4">
        <v>42</v>
      </c>
      <c r="D73" s="10">
        <f t="shared" si="2"/>
        <v>0</v>
      </c>
      <c r="E73" s="4">
        <f t="shared" si="3"/>
        <v>1</v>
      </c>
      <c r="F73" s="4" t="s">
        <v>1</v>
      </c>
      <c r="G73">
        <v>476</v>
      </c>
      <c r="H73" s="4">
        <v>0</v>
      </c>
    </row>
    <row r="74" spans="1:8" x14ac:dyDescent="0.4">
      <c r="A74" s="4">
        <v>68</v>
      </c>
      <c r="B74" s="4">
        <v>73</v>
      </c>
      <c r="C74" s="4">
        <v>71</v>
      </c>
      <c r="D74" s="10">
        <f t="shared" si="2"/>
        <v>1</v>
      </c>
      <c r="E74" s="4">
        <f t="shared" si="3"/>
        <v>0</v>
      </c>
      <c r="F74" s="4" t="s">
        <v>0</v>
      </c>
      <c r="G74">
        <v>797</v>
      </c>
      <c r="H74" s="4">
        <v>0</v>
      </c>
    </row>
    <row r="75" spans="1:8" x14ac:dyDescent="0.4">
      <c r="A75" s="4">
        <v>69</v>
      </c>
      <c r="B75" s="4">
        <v>44</v>
      </c>
      <c r="C75" s="4">
        <v>40</v>
      </c>
      <c r="D75" s="10">
        <f t="shared" si="2"/>
        <v>0</v>
      </c>
      <c r="E75" s="4">
        <f t="shared" si="3"/>
        <v>1</v>
      </c>
      <c r="F75" s="4" t="s">
        <v>1</v>
      </c>
      <c r="G75">
        <v>548</v>
      </c>
      <c r="H75" s="4">
        <v>0</v>
      </c>
    </row>
    <row r="76" spans="1:8" x14ac:dyDescent="0.4">
      <c r="A76" s="4">
        <v>70</v>
      </c>
      <c r="B76" s="4">
        <v>57</v>
      </c>
      <c r="C76" s="4">
        <v>41</v>
      </c>
      <c r="D76" s="10">
        <f t="shared" si="2"/>
        <v>0</v>
      </c>
      <c r="E76" s="4">
        <f t="shared" si="3"/>
        <v>0</v>
      </c>
      <c r="F76" s="4" t="s">
        <v>2</v>
      </c>
      <c r="G76">
        <v>599</v>
      </c>
      <c r="H76" s="4">
        <v>0</v>
      </c>
    </row>
    <row r="77" spans="1:8" x14ac:dyDescent="0.4">
      <c r="A77" s="4">
        <v>71</v>
      </c>
      <c r="B77" s="4">
        <v>57</v>
      </c>
      <c r="C77" s="4">
        <v>56</v>
      </c>
      <c r="D77" s="10">
        <f t="shared" si="2"/>
        <v>0</v>
      </c>
      <c r="E77" s="4">
        <f t="shared" si="3"/>
        <v>0</v>
      </c>
      <c r="F77" s="4" t="s">
        <v>2</v>
      </c>
      <c r="G77">
        <v>766</v>
      </c>
      <c r="H77" s="4">
        <v>0</v>
      </c>
    </row>
    <row r="78" spans="1:8" x14ac:dyDescent="0.4">
      <c r="A78" s="4">
        <v>72</v>
      </c>
      <c r="B78" s="4">
        <v>42</v>
      </c>
      <c r="C78" s="4">
        <v>47</v>
      </c>
      <c r="D78" s="10">
        <f t="shared" si="2"/>
        <v>0</v>
      </c>
      <c r="E78" s="4">
        <f t="shared" si="3"/>
        <v>1</v>
      </c>
      <c r="F78" s="4" t="s">
        <v>1</v>
      </c>
      <c r="G78">
        <v>596</v>
      </c>
      <c r="H78" s="4">
        <v>0</v>
      </c>
    </row>
    <row r="79" spans="1:8" x14ac:dyDescent="0.4">
      <c r="A79" s="4">
        <v>73</v>
      </c>
      <c r="B79" s="4">
        <v>50</v>
      </c>
      <c r="C79" s="4">
        <v>53</v>
      </c>
      <c r="D79" s="10">
        <f t="shared" si="2"/>
        <v>1</v>
      </c>
      <c r="E79" s="4">
        <f t="shared" si="3"/>
        <v>0</v>
      </c>
      <c r="F79" s="4" t="s">
        <v>0</v>
      </c>
      <c r="G79">
        <v>716</v>
      </c>
      <c r="H79" s="4">
        <v>0</v>
      </c>
    </row>
    <row r="80" spans="1:8" x14ac:dyDescent="0.4">
      <c r="A80" s="4">
        <v>74</v>
      </c>
      <c r="B80" s="4">
        <v>57</v>
      </c>
      <c r="C80" s="4">
        <v>50</v>
      </c>
      <c r="D80" s="10">
        <f t="shared" si="2"/>
        <v>1</v>
      </c>
      <c r="E80" s="4">
        <f t="shared" si="3"/>
        <v>0</v>
      </c>
      <c r="F80" s="4" t="s">
        <v>0</v>
      </c>
      <c r="G80">
        <v>661</v>
      </c>
      <c r="H80" s="4">
        <v>0</v>
      </c>
    </row>
    <row r="81" spans="1:8" x14ac:dyDescent="0.4">
      <c r="A81" s="4">
        <v>75</v>
      </c>
      <c r="B81" s="4">
        <v>60</v>
      </c>
      <c r="C81" s="4">
        <v>51</v>
      </c>
      <c r="D81" s="10">
        <f t="shared" si="2"/>
        <v>0</v>
      </c>
      <c r="E81" s="4">
        <f t="shared" si="3"/>
        <v>1</v>
      </c>
      <c r="F81" s="4" t="s">
        <v>1</v>
      </c>
      <c r="G81">
        <v>548</v>
      </c>
      <c r="H81" s="4">
        <v>0</v>
      </c>
    </row>
    <row r="82" spans="1:8" x14ac:dyDescent="0.4">
      <c r="A82" s="4">
        <v>76</v>
      </c>
      <c r="B82" s="4">
        <v>47</v>
      </c>
      <c r="C82" s="4">
        <v>51</v>
      </c>
      <c r="D82" s="10">
        <f t="shared" si="2"/>
        <v>1</v>
      </c>
      <c r="E82" s="4">
        <f t="shared" si="3"/>
        <v>0</v>
      </c>
      <c r="F82" s="4" t="s">
        <v>0</v>
      </c>
      <c r="G82">
        <v>595</v>
      </c>
      <c r="H82" s="4">
        <v>0</v>
      </c>
    </row>
    <row r="83" spans="1:8" x14ac:dyDescent="0.4">
      <c r="A83" s="4">
        <v>77</v>
      </c>
      <c r="B83" s="4">
        <v>61</v>
      </c>
      <c r="C83" s="4">
        <v>49</v>
      </c>
      <c r="D83" s="10">
        <f t="shared" si="2"/>
        <v>1</v>
      </c>
      <c r="E83" s="4">
        <f t="shared" si="3"/>
        <v>0</v>
      </c>
      <c r="F83" s="4" t="s">
        <v>0</v>
      </c>
      <c r="G83">
        <v>689</v>
      </c>
      <c r="H83" s="4">
        <v>0</v>
      </c>
    </row>
    <row r="84" spans="1:8" x14ac:dyDescent="0.4">
      <c r="A84" s="4">
        <v>78</v>
      </c>
      <c r="B84" s="4">
        <v>39</v>
      </c>
      <c r="C84" s="4">
        <v>54</v>
      </c>
      <c r="D84" s="10">
        <f t="shared" si="2"/>
        <v>1</v>
      </c>
      <c r="E84" s="4">
        <f t="shared" si="3"/>
        <v>0</v>
      </c>
      <c r="F84" s="4" t="s">
        <v>0</v>
      </c>
      <c r="G84">
        <v>577</v>
      </c>
      <c r="H84" s="4">
        <v>0</v>
      </c>
    </row>
    <row r="85" spans="1:8" x14ac:dyDescent="0.4">
      <c r="A85" s="4">
        <v>79</v>
      </c>
      <c r="B85" s="4">
        <v>60</v>
      </c>
      <c r="C85" s="4">
        <v>49</v>
      </c>
      <c r="D85" s="10">
        <f t="shared" si="2"/>
        <v>1</v>
      </c>
      <c r="E85" s="4">
        <f t="shared" si="3"/>
        <v>0</v>
      </c>
      <c r="F85" s="4" t="s">
        <v>0</v>
      </c>
      <c r="G85">
        <v>633</v>
      </c>
      <c r="H85" s="4">
        <v>0</v>
      </c>
    </row>
    <row r="86" spans="1:8" x14ac:dyDescent="0.4">
      <c r="A86" s="4">
        <v>80</v>
      </c>
      <c r="B86" s="4">
        <v>65</v>
      </c>
      <c r="C86" s="4">
        <v>68</v>
      </c>
      <c r="D86" s="10">
        <f t="shared" si="2"/>
        <v>1</v>
      </c>
      <c r="E86" s="4">
        <f t="shared" si="3"/>
        <v>0</v>
      </c>
      <c r="F86" s="4" t="s">
        <v>0</v>
      </c>
      <c r="G86">
        <v>713</v>
      </c>
      <c r="H86" s="4">
        <v>0</v>
      </c>
    </row>
    <row r="87" spans="1:8" x14ac:dyDescent="0.4">
      <c r="A87" s="4">
        <v>81</v>
      </c>
      <c r="B87" s="4">
        <v>63</v>
      </c>
      <c r="C87" s="4">
        <v>59</v>
      </c>
      <c r="D87" s="10">
        <f t="shared" si="2"/>
        <v>1</v>
      </c>
      <c r="E87" s="4">
        <f t="shared" si="3"/>
        <v>0</v>
      </c>
      <c r="F87" s="4" t="s">
        <v>0</v>
      </c>
      <c r="G87">
        <v>668</v>
      </c>
      <c r="H87" s="4">
        <v>0</v>
      </c>
    </row>
    <row r="88" spans="1:8" x14ac:dyDescent="0.4">
      <c r="A88" s="4">
        <v>82</v>
      </c>
      <c r="B88" s="4">
        <v>68</v>
      </c>
      <c r="C88" s="4">
        <v>65</v>
      </c>
      <c r="D88" s="10">
        <f t="shared" si="2"/>
        <v>1</v>
      </c>
      <c r="E88" s="4">
        <f t="shared" si="3"/>
        <v>0</v>
      </c>
      <c r="F88" s="4" t="s">
        <v>0</v>
      </c>
      <c r="G88">
        <v>800</v>
      </c>
      <c r="H88" s="4">
        <v>0</v>
      </c>
    </row>
    <row r="89" spans="1:8" x14ac:dyDescent="0.4">
      <c r="A89" s="4">
        <v>83</v>
      </c>
      <c r="B89" s="4">
        <v>50</v>
      </c>
      <c r="C89" s="4">
        <v>41</v>
      </c>
      <c r="D89" s="10">
        <f t="shared" si="2"/>
        <v>0</v>
      </c>
      <c r="E89" s="4">
        <f t="shared" si="3"/>
        <v>1</v>
      </c>
      <c r="F89" s="4" t="s">
        <v>1</v>
      </c>
      <c r="G89">
        <v>571</v>
      </c>
      <c r="H89" s="4">
        <v>0</v>
      </c>
    </row>
    <row r="90" spans="1:8" x14ac:dyDescent="0.4">
      <c r="A90" s="4">
        <v>84</v>
      </c>
      <c r="B90" s="4">
        <v>63</v>
      </c>
      <c r="C90" s="4">
        <v>54</v>
      </c>
      <c r="D90" s="10">
        <f t="shared" si="2"/>
        <v>0</v>
      </c>
      <c r="E90" s="4">
        <f t="shared" si="3"/>
        <v>0</v>
      </c>
      <c r="F90" s="4" t="s">
        <v>2</v>
      </c>
      <c r="G90">
        <v>636</v>
      </c>
      <c r="H90" s="4">
        <v>0</v>
      </c>
    </row>
    <row r="91" spans="1:8" x14ac:dyDescent="0.4">
      <c r="A91" s="4">
        <v>85</v>
      </c>
      <c r="B91" s="4">
        <v>55</v>
      </c>
      <c r="C91" s="4">
        <v>57</v>
      </c>
      <c r="D91" s="10">
        <f t="shared" si="2"/>
        <v>0</v>
      </c>
      <c r="E91" s="4">
        <f t="shared" si="3"/>
        <v>0</v>
      </c>
      <c r="F91" s="4" t="s">
        <v>2</v>
      </c>
      <c r="G91">
        <v>691</v>
      </c>
      <c r="H91" s="4">
        <v>0</v>
      </c>
    </row>
    <row r="92" spans="1:8" x14ac:dyDescent="0.4">
      <c r="A92" s="4">
        <v>86</v>
      </c>
      <c r="B92" s="4">
        <v>44</v>
      </c>
      <c r="C92" s="4">
        <v>54</v>
      </c>
      <c r="D92" s="10">
        <f t="shared" si="2"/>
        <v>0</v>
      </c>
      <c r="E92" s="4">
        <f t="shared" si="3"/>
        <v>0</v>
      </c>
      <c r="F92" s="4" t="s">
        <v>2</v>
      </c>
      <c r="G92">
        <v>682</v>
      </c>
      <c r="H92" s="4">
        <v>0</v>
      </c>
    </row>
    <row r="93" spans="1:8" x14ac:dyDescent="0.4">
      <c r="A93" s="4">
        <v>87</v>
      </c>
      <c r="B93" s="4">
        <v>50</v>
      </c>
      <c r="C93" s="4">
        <v>46</v>
      </c>
      <c r="D93" s="10">
        <f t="shared" si="2"/>
        <v>0</v>
      </c>
      <c r="E93" s="4">
        <f t="shared" si="3"/>
        <v>0</v>
      </c>
      <c r="F93" s="4" t="s">
        <v>2</v>
      </c>
      <c r="G93">
        <v>605</v>
      </c>
      <c r="H93" s="4">
        <v>0</v>
      </c>
    </row>
    <row r="94" spans="1:8" x14ac:dyDescent="0.4">
      <c r="A94" s="4">
        <v>88</v>
      </c>
      <c r="B94" s="4">
        <v>68</v>
      </c>
      <c r="C94" s="4">
        <v>64</v>
      </c>
      <c r="D94" s="10">
        <f t="shared" si="2"/>
        <v>1</v>
      </c>
      <c r="E94" s="4">
        <f t="shared" si="3"/>
        <v>0</v>
      </c>
      <c r="F94" s="4" t="s">
        <v>0</v>
      </c>
      <c r="G94">
        <v>618</v>
      </c>
      <c r="H94" s="4">
        <v>0</v>
      </c>
    </row>
    <row r="95" spans="1:8" x14ac:dyDescent="0.4">
      <c r="A95" s="4">
        <v>89</v>
      </c>
      <c r="B95" s="4">
        <v>35</v>
      </c>
      <c r="C95" s="4">
        <v>40</v>
      </c>
      <c r="D95" s="10">
        <f t="shared" si="2"/>
        <v>0</v>
      </c>
      <c r="E95" s="4">
        <f t="shared" si="3"/>
        <v>1</v>
      </c>
      <c r="F95" s="4" t="s">
        <v>1</v>
      </c>
      <c r="G95">
        <v>522</v>
      </c>
      <c r="H95" s="4">
        <v>0</v>
      </c>
    </row>
    <row r="96" spans="1:8" x14ac:dyDescent="0.4">
      <c r="A96" s="4">
        <v>90</v>
      </c>
      <c r="B96" s="4">
        <v>42</v>
      </c>
      <c r="C96" s="4">
        <v>50</v>
      </c>
      <c r="D96" s="10">
        <f t="shared" si="2"/>
        <v>1</v>
      </c>
      <c r="E96" s="4">
        <f t="shared" si="3"/>
        <v>0</v>
      </c>
      <c r="F96" s="4" t="s">
        <v>0</v>
      </c>
      <c r="G96">
        <v>671</v>
      </c>
      <c r="H96" s="4">
        <v>0</v>
      </c>
    </row>
    <row r="97" spans="1:8" x14ac:dyDescent="0.4">
      <c r="A97" s="4">
        <v>91</v>
      </c>
      <c r="B97" s="4">
        <v>50</v>
      </c>
      <c r="C97" s="4">
        <v>56</v>
      </c>
      <c r="D97" s="10">
        <f t="shared" si="2"/>
        <v>0</v>
      </c>
      <c r="E97" s="4">
        <f t="shared" si="3"/>
        <v>1</v>
      </c>
      <c r="F97" s="4" t="s">
        <v>1</v>
      </c>
      <c r="G97">
        <v>666</v>
      </c>
      <c r="H97" s="4">
        <v>0</v>
      </c>
    </row>
    <row r="98" spans="1:8" x14ac:dyDescent="0.4">
      <c r="A98" s="4">
        <v>92</v>
      </c>
      <c r="B98" s="4">
        <v>52</v>
      </c>
      <c r="C98" s="4">
        <v>57</v>
      </c>
      <c r="D98" s="10">
        <f t="shared" si="2"/>
        <v>0</v>
      </c>
      <c r="E98" s="4">
        <f t="shared" si="3"/>
        <v>0</v>
      </c>
      <c r="F98" s="4" t="s">
        <v>2</v>
      </c>
      <c r="G98">
        <v>739</v>
      </c>
      <c r="H98" s="4">
        <v>0</v>
      </c>
    </row>
    <row r="99" spans="1:8" x14ac:dyDescent="0.4">
      <c r="A99" s="4">
        <v>93</v>
      </c>
      <c r="B99" s="4">
        <v>73</v>
      </c>
      <c r="C99" s="4">
        <v>62</v>
      </c>
      <c r="D99" s="10">
        <f t="shared" si="2"/>
        <v>1</v>
      </c>
      <c r="E99" s="4">
        <f t="shared" si="3"/>
        <v>0</v>
      </c>
      <c r="F99" s="4" t="s">
        <v>0</v>
      </c>
      <c r="G99">
        <v>800</v>
      </c>
      <c r="H99" s="4">
        <v>0</v>
      </c>
    </row>
    <row r="100" spans="1:8" x14ac:dyDescent="0.4">
      <c r="A100" s="4">
        <v>94</v>
      </c>
      <c r="B100" s="4">
        <v>55</v>
      </c>
      <c r="C100" s="4">
        <v>61</v>
      </c>
      <c r="D100" s="10">
        <f t="shared" si="2"/>
        <v>1</v>
      </c>
      <c r="E100" s="4">
        <f t="shared" si="3"/>
        <v>0</v>
      </c>
      <c r="F100" s="4" t="s">
        <v>0</v>
      </c>
      <c r="G100">
        <v>782</v>
      </c>
      <c r="H100" s="4">
        <v>0</v>
      </c>
    </row>
    <row r="101" spans="1:8" x14ac:dyDescent="0.4">
      <c r="A101" s="4">
        <v>95</v>
      </c>
      <c r="B101" s="4">
        <v>73</v>
      </c>
      <c r="C101" s="4">
        <v>71</v>
      </c>
      <c r="D101" s="10">
        <f t="shared" si="2"/>
        <v>1</v>
      </c>
      <c r="E101" s="4">
        <f t="shared" si="3"/>
        <v>0</v>
      </c>
      <c r="F101" s="4" t="s">
        <v>0</v>
      </c>
      <c r="G101">
        <v>800</v>
      </c>
      <c r="H101" s="4">
        <v>0</v>
      </c>
    </row>
    <row r="102" spans="1:8" x14ac:dyDescent="0.4">
      <c r="A102" s="4">
        <v>96</v>
      </c>
      <c r="B102" s="4">
        <v>65</v>
      </c>
      <c r="C102" s="4">
        <v>61</v>
      </c>
      <c r="D102" s="10">
        <f t="shared" si="2"/>
        <v>1</v>
      </c>
      <c r="E102" s="4">
        <f t="shared" si="3"/>
        <v>0</v>
      </c>
      <c r="F102" s="4" t="s">
        <v>0</v>
      </c>
      <c r="G102">
        <v>749</v>
      </c>
      <c r="H102" s="4">
        <v>0</v>
      </c>
    </row>
    <row r="103" spans="1:8" x14ac:dyDescent="0.4">
      <c r="A103" s="4">
        <v>97</v>
      </c>
      <c r="B103" s="4">
        <v>60</v>
      </c>
      <c r="C103" s="4">
        <v>58</v>
      </c>
      <c r="D103" s="10">
        <f t="shared" si="2"/>
        <v>1</v>
      </c>
      <c r="E103" s="4">
        <f t="shared" si="3"/>
        <v>0</v>
      </c>
      <c r="F103" s="4" t="s">
        <v>0</v>
      </c>
      <c r="G103">
        <v>613</v>
      </c>
      <c r="H103" s="4">
        <v>0</v>
      </c>
    </row>
    <row r="104" spans="1:8" x14ac:dyDescent="0.4">
      <c r="A104" s="4">
        <v>98</v>
      </c>
      <c r="B104" s="4">
        <v>57</v>
      </c>
      <c r="C104" s="4">
        <v>51</v>
      </c>
      <c r="D104" s="10">
        <f t="shared" si="2"/>
        <v>0</v>
      </c>
      <c r="E104" s="4">
        <f t="shared" si="3"/>
        <v>1</v>
      </c>
      <c r="F104" s="4" t="s">
        <v>1</v>
      </c>
      <c r="G104">
        <v>648</v>
      </c>
      <c r="H104" s="4">
        <v>0</v>
      </c>
    </row>
    <row r="105" spans="1:8" x14ac:dyDescent="0.4">
      <c r="A105" s="4">
        <v>99</v>
      </c>
      <c r="B105" s="4">
        <v>47</v>
      </c>
      <c r="C105" s="4">
        <v>56</v>
      </c>
      <c r="D105" s="10">
        <f t="shared" si="2"/>
        <v>0</v>
      </c>
      <c r="E105" s="4">
        <f t="shared" si="3"/>
        <v>0</v>
      </c>
      <c r="F105" s="4" t="s">
        <v>2</v>
      </c>
      <c r="G105">
        <v>640</v>
      </c>
      <c r="H105" s="4">
        <v>0</v>
      </c>
    </row>
    <row r="106" spans="1:8" x14ac:dyDescent="0.4">
      <c r="A106" s="4">
        <v>100</v>
      </c>
      <c r="B106" s="4">
        <v>63</v>
      </c>
      <c r="C106" s="4">
        <v>71</v>
      </c>
      <c r="D106" s="10">
        <f t="shared" si="2"/>
        <v>1</v>
      </c>
      <c r="E106" s="4">
        <f t="shared" si="3"/>
        <v>0</v>
      </c>
      <c r="F106" s="4" t="s">
        <v>0</v>
      </c>
      <c r="G106">
        <v>793</v>
      </c>
      <c r="H106" s="4">
        <v>0</v>
      </c>
    </row>
    <row r="107" spans="1:8" x14ac:dyDescent="0.4">
      <c r="A107" s="4">
        <v>101</v>
      </c>
      <c r="B107" s="4">
        <v>60</v>
      </c>
      <c r="C107" s="4">
        <v>67</v>
      </c>
      <c r="D107" s="10">
        <f t="shared" si="2"/>
        <v>1</v>
      </c>
      <c r="E107" s="4">
        <f t="shared" si="3"/>
        <v>0</v>
      </c>
      <c r="F107" s="4" t="s">
        <v>0</v>
      </c>
      <c r="G107">
        <v>800</v>
      </c>
      <c r="H107" s="4">
        <v>0</v>
      </c>
    </row>
    <row r="108" spans="1:8" x14ac:dyDescent="0.4">
      <c r="A108" s="4">
        <v>102</v>
      </c>
      <c r="B108" s="4">
        <v>52</v>
      </c>
      <c r="C108" s="4">
        <v>51</v>
      </c>
      <c r="D108" s="10">
        <f t="shared" si="2"/>
        <v>1</v>
      </c>
      <c r="E108" s="4">
        <f t="shared" si="3"/>
        <v>0</v>
      </c>
      <c r="F108" s="4" t="s">
        <v>0</v>
      </c>
      <c r="G108">
        <v>698</v>
      </c>
      <c r="H108" s="4">
        <v>0</v>
      </c>
    </row>
    <row r="109" spans="1:8" x14ac:dyDescent="0.4">
      <c r="A109" s="4">
        <v>103</v>
      </c>
      <c r="B109" s="4">
        <v>76</v>
      </c>
      <c r="C109" s="4">
        <v>64</v>
      </c>
      <c r="D109" s="10">
        <f t="shared" si="2"/>
        <v>1</v>
      </c>
      <c r="E109" s="4">
        <f t="shared" si="3"/>
        <v>0</v>
      </c>
      <c r="F109" s="4" t="s">
        <v>0</v>
      </c>
      <c r="G109">
        <v>676</v>
      </c>
      <c r="H109" s="4">
        <v>0</v>
      </c>
    </row>
    <row r="110" spans="1:8" x14ac:dyDescent="0.4">
      <c r="A110" s="4">
        <v>104</v>
      </c>
      <c r="B110" s="4">
        <v>54</v>
      </c>
      <c r="C110" s="4">
        <v>57</v>
      </c>
      <c r="D110" s="10">
        <f t="shared" si="2"/>
        <v>1</v>
      </c>
      <c r="E110" s="4">
        <f t="shared" si="3"/>
        <v>0</v>
      </c>
      <c r="F110" s="4" t="s">
        <v>0</v>
      </c>
      <c r="G110">
        <v>630</v>
      </c>
      <c r="H110" s="4">
        <v>0</v>
      </c>
    </row>
    <row r="111" spans="1:8" x14ac:dyDescent="0.4">
      <c r="A111" s="4">
        <v>105</v>
      </c>
      <c r="B111" s="4">
        <v>50</v>
      </c>
      <c r="C111" s="4">
        <v>45</v>
      </c>
      <c r="D111" s="10">
        <f t="shared" si="2"/>
        <v>1</v>
      </c>
      <c r="E111" s="4">
        <f t="shared" si="3"/>
        <v>0</v>
      </c>
      <c r="F111" s="4" t="s">
        <v>0</v>
      </c>
      <c r="G111">
        <v>598</v>
      </c>
      <c r="H111" s="4">
        <v>0</v>
      </c>
    </row>
    <row r="112" spans="1:8" x14ac:dyDescent="0.4">
      <c r="A112" s="4">
        <v>106</v>
      </c>
      <c r="B112" s="4">
        <v>36</v>
      </c>
      <c r="C112" s="4">
        <v>37</v>
      </c>
      <c r="D112" s="10">
        <f t="shared" si="2"/>
        <v>0</v>
      </c>
      <c r="E112" s="4">
        <f t="shared" si="3"/>
        <v>1</v>
      </c>
      <c r="F112" s="4" t="s">
        <v>1</v>
      </c>
      <c r="G112">
        <v>404</v>
      </c>
      <c r="H112" s="4">
        <v>0</v>
      </c>
    </row>
    <row r="113" spans="1:8" x14ac:dyDescent="0.4">
      <c r="A113" s="4">
        <v>107</v>
      </c>
      <c r="B113" s="4">
        <v>47</v>
      </c>
      <c r="C113" s="4">
        <v>47</v>
      </c>
      <c r="D113" s="10">
        <f t="shared" si="2"/>
        <v>0</v>
      </c>
      <c r="E113" s="4">
        <f t="shared" si="3"/>
        <v>1</v>
      </c>
      <c r="F113" s="4" t="s">
        <v>1</v>
      </c>
      <c r="G113">
        <v>629</v>
      </c>
      <c r="H113" s="4">
        <v>0</v>
      </c>
    </row>
    <row r="114" spans="1:8" x14ac:dyDescent="0.4">
      <c r="A114" s="4">
        <v>108</v>
      </c>
      <c r="B114" s="4">
        <v>34</v>
      </c>
      <c r="C114" s="4">
        <v>41</v>
      </c>
      <c r="D114" s="10">
        <f t="shared" si="2"/>
        <v>0</v>
      </c>
      <c r="E114" s="4">
        <f t="shared" si="3"/>
        <v>0</v>
      </c>
      <c r="F114" s="4" t="s">
        <v>2</v>
      </c>
      <c r="G114">
        <v>637</v>
      </c>
      <c r="H114" s="4">
        <v>0</v>
      </c>
    </row>
    <row r="115" spans="1:8" x14ac:dyDescent="0.4">
      <c r="A115" s="4">
        <v>109</v>
      </c>
      <c r="B115" s="4">
        <v>42</v>
      </c>
      <c r="C115" s="4">
        <v>42</v>
      </c>
      <c r="D115" s="10">
        <f t="shared" si="2"/>
        <v>0</v>
      </c>
      <c r="E115" s="4">
        <f t="shared" si="3"/>
        <v>0</v>
      </c>
      <c r="F115" s="4" t="s">
        <v>2</v>
      </c>
      <c r="G115">
        <v>574</v>
      </c>
      <c r="H115" s="4">
        <v>0</v>
      </c>
    </row>
    <row r="116" spans="1:8" x14ac:dyDescent="0.4">
      <c r="A116" s="4">
        <v>110</v>
      </c>
      <c r="B116" s="4">
        <v>52</v>
      </c>
      <c r="C116" s="4">
        <v>50</v>
      </c>
      <c r="D116" s="10">
        <f t="shared" si="2"/>
        <v>0</v>
      </c>
      <c r="E116" s="4">
        <f t="shared" si="3"/>
        <v>1</v>
      </c>
      <c r="F116" s="4" t="s">
        <v>1</v>
      </c>
      <c r="G116">
        <v>620</v>
      </c>
      <c r="H116" s="4">
        <v>0</v>
      </c>
    </row>
    <row r="117" spans="1:8" x14ac:dyDescent="0.4">
      <c r="A117" s="4">
        <v>111</v>
      </c>
      <c r="B117" s="4">
        <v>39</v>
      </c>
      <c r="C117" s="4">
        <v>39</v>
      </c>
      <c r="D117" s="10">
        <f t="shared" si="2"/>
        <v>0</v>
      </c>
      <c r="E117" s="4">
        <f t="shared" si="3"/>
        <v>0</v>
      </c>
      <c r="F117" s="4" t="s">
        <v>2</v>
      </c>
      <c r="G117">
        <v>622</v>
      </c>
      <c r="H117" s="4">
        <v>0</v>
      </c>
    </row>
    <row r="118" spans="1:8" x14ac:dyDescent="0.4">
      <c r="A118" s="4">
        <v>112</v>
      </c>
      <c r="B118" s="4">
        <v>52</v>
      </c>
      <c r="C118" s="4">
        <v>48</v>
      </c>
      <c r="D118" s="10">
        <f t="shared" si="2"/>
        <v>1</v>
      </c>
      <c r="E118" s="4">
        <f t="shared" si="3"/>
        <v>0</v>
      </c>
      <c r="F118" s="4" t="s">
        <v>0</v>
      </c>
      <c r="G118">
        <v>689</v>
      </c>
      <c r="H118" s="4">
        <v>0</v>
      </c>
    </row>
    <row r="119" spans="1:8" x14ac:dyDescent="0.4">
      <c r="A119" s="4">
        <v>113</v>
      </c>
      <c r="B119" s="4">
        <v>44</v>
      </c>
      <c r="C119" s="4">
        <v>51</v>
      </c>
      <c r="D119" s="10">
        <f t="shared" si="2"/>
        <v>1</v>
      </c>
      <c r="E119" s="4">
        <f t="shared" si="3"/>
        <v>0</v>
      </c>
      <c r="F119" s="4" t="s">
        <v>0</v>
      </c>
      <c r="G119">
        <v>556</v>
      </c>
      <c r="H119" s="4">
        <v>0</v>
      </c>
    </row>
    <row r="120" spans="1:8" x14ac:dyDescent="0.4">
      <c r="A120" s="4">
        <v>114</v>
      </c>
      <c r="B120" s="4">
        <v>68</v>
      </c>
      <c r="C120" s="4">
        <v>62</v>
      </c>
      <c r="D120" s="10">
        <f t="shared" si="2"/>
        <v>1</v>
      </c>
      <c r="E120" s="4">
        <f t="shared" si="3"/>
        <v>0</v>
      </c>
      <c r="F120" s="4" t="s">
        <v>0</v>
      </c>
      <c r="G120">
        <v>725</v>
      </c>
      <c r="H120" s="4">
        <v>0</v>
      </c>
    </row>
    <row r="121" spans="1:8" x14ac:dyDescent="0.4">
      <c r="A121" s="4">
        <v>115</v>
      </c>
      <c r="B121" s="4">
        <v>42</v>
      </c>
      <c r="C121" s="4">
        <v>43</v>
      </c>
      <c r="D121" s="10">
        <f t="shared" si="2"/>
        <v>0</v>
      </c>
      <c r="E121" s="4">
        <f t="shared" si="3"/>
        <v>0</v>
      </c>
      <c r="F121" s="4" t="s">
        <v>2</v>
      </c>
      <c r="G121">
        <v>571</v>
      </c>
      <c r="H121" s="4">
        <v>0</v>
      </c>
    </row>
    <row r="122" spans="1:8" x14ac:dyDescent="0.4">
      <c r="A122" s="4">
        <v>116</v>
      </c>
      <c r="B122" s="4">
        <v>57</v>
      </c>
      <c r="C122" s="4">
        <v>54</v>
      </c>
      <c r="D122" s="10">
        <f t="shared" si="2"/>
        <v>1</v>
      </c>
      <c r="E122" s="4">
        <f t="shared" si="3"/>
        <v>0</v>
      </c>
      <c r="F122" s="4" t="s">
        <v>0</v>
      </c>
      <c r="G122">
        <v>681</v>
      </c>
      <c r="H122" s="4">
        <v>0</v>
      </c>
    </row>
    <row r="123" spans="1:8" x14ac:dyDescent="0.4">
      <c r="A123" s="4">
        <v>117</v>
      </c>
      <c r="B123" s="4">
        <v>34</v>
      </c>
      <c r="C123" s="4">
        <v>39</v>
      </c>
      <c r="D123" s="10">
        <f t="shared" si="2"/>
        <v>0</v>
      </c>
      <c r="E123" s="4">
        <f t="shared" si="3"/>
        <v>1</v>
      </c>
      <c r="F123" s="4" t="s">
        <v>1</v>
      </c>
      <c r="G123">
        <v>565</v>
      </c>
      <c r="H123" s="4">
        <v>0</v>
      </c>
    </row>
    <row r="124" spans="1:8" x14ac:dyDescent="0.4">
      <c r="A124" s="4">
        <v>118</v>
      </c>
      <c r="B124" s="4">
        <v>55</v>
      </c>
      <c r="C124" s="4">
        <v>58</v>
      </c>
      <c r="D124" s="10">
        <f t="shared" si="2"/>
        <v>0</v>
      </c>
      <c r="E124" s="4">
        <f t="shared" si="3"/>
        <v>0</v>
      </c>
      <c r="F124" s="4" t="s">
        <v>2</v>
      </c>
      <c r="G124">
        <v>629</v>
      </c>
      <c r="H124" s="4">
        <v>0</v>
      </c>
    </row>
    <row r="125" spans="1:8" x14ac:dyDescent="0.4">
      <c r="A125" s="4">
        <v>119</v>
      </c>
      <c r="B125" s="4">
        <v>42</v>
      </c>
      <c r="C125" s="4">
        <v>45</v>
      </c>
      <c r="D125" s="10">
        <f t="shared" si="2"/>
        <v>0</v>
      </c>
      <c r="E125" s="4">
        <f t="shared" si="3"/>
        <v>0</v>
      </c>
      <c r="F125" s="4" t="s">
        <v>2</v>
      </c>
      <c r="G125">
        <v>584</v>
      </c>
      <c r="H125" s="4">
        <v>0</v>
      </c>
    </row>
    <row r="126" spans="1:8" x14ac:dyDescent="0.4">
      <c r="A126" s="4">
        <v>120</v>
      </c>
      <c r="B126" s="4">
        <v>63</v>
      </c>
      <c r="C126" s="4">
        <v>54</v>
      </c>
      <c r="D126" s="10">
        <f t="shared" si="2"/>
        <v>1</v>
      </c>
      <c r="E126" s="4">
        <f t="shared" si="3"/>
        <v>0</v>
      </c>
      <c r="F126" s="4" t="s">
        <v>0</v>
      </c>
      <c r="G126">
        <v>589</v>
      </c>
      <c r="H126" s="4">
        <v>0</v>
      </c>
    </row>
    <row r="127" spans="1:8" x14ac:dyDescent="0.4">
      <c r="A127" s="4">
        <v>121</v>
      </c>
      <c r="B127" s="4">
        <v>68</v>
      </c>
      <c r="C127" s="4">
        <v>53</v>
      </c>
      <c r="D127" s="10">
        <f t="shared" si="2"/>
        <v>0</v>
      </c>
      <c r="E127" s="4">
        <f t="shared" si="3"/>
        <v>1</v>
      </c>
      <c r="F127" s="4" t="s">
        <v>1</v>
      </c>
      <c r="G127">
        <v>788</v>
      </c>
      <c r="H127" s="4">
        <v>0</v>
      </c>
    </row>
    <row r="128" spans="1:8" x14ac:dyDescent="0.4">
      <c r="A128" s="4">
        <v>122</v>
      </c>
      <c r="B128" s="4">
        <v>52</v>
      </c>
      <c r="C128" s="4">
        <v>58</v>
      </c>
      <c r="D128" s="10">
        <f t="shared" si="2"/>
        <v>1</v>
      </c>
      <c r="E128" s="4">
        <f t="shared" si="3"/>
        <v>0</v>
      </c>
      <c r="F128" s="4" t="s">
        <v>0</v>
      </c>
      <c r="G128">
        <v>779</v>
      </c>
      <c r="H128" s="4">
        <v>0</v>
      </c>
    </row>
    <row r="129" spans="1:8" x14ac:dyDescent="0.4">
      <c r="A129" s="4">
        <v>123</v>
      </c>
      <c r="B129" s="4">
        <v>68</v>
      </c>
      <c r="C129" s="4">
        <v>56</v>
      </c>
      <c r="D129" s="10">
        <f t="shared" si="2"/>
        <v>0</v>
      </c>
      <c r="E129" s="4">
        <f t="shared" si="3"/>
        <v>0</v>
      </c>
      <c r="F129" s="4" t="s">
        <v>2</v>
      </c>
      <c r="G129">
        <v>605</v>
      </c>
      <c r="H129" s="4">
        <v>0</v>
      </c>
    </row>
    <row r="130" spans="1:8" x14ac:dyDescent="0.4">
      <c r="A130" s="4">
        <v>124</v>
      </c>
      <c r="B130" s="4">
        <v>42</v>
      </c>
      <c r="C130" s="4">
        <v>41</v>
      </c>
      <c r="D130" s="10">
        <f t="shared" si="2"/>
        <v>0</v>
      </c>
      <c r="E130" s="4">
        <f t="shared" si="3"/>
        <v>1</v>
      </c>
      <c r="F130" s="4" t="s">
        <v>1</v>
      </c>
      <c r="G130">
        <v>614</v>
      </c>
      <c r="H130" s="4">
        <v>0</v>
      </c>
    </row>
    <row r="131" spans="1:8" x14ac:dyDescent="0.4">
      <c r="A131" s="4">
        <v>125</v>
      </c>
      <c r="B131" s="4">
        <v>68</v>
      </c>
      <c r="C131" s="4">
        <v>58</v>
      </c>
      <c r="D131" s="10">
        <f t="shared" si="2"/>
        <v>1</v>
      </c>
      <c r="E131" s="4">
        <f t="shared" si="3"/>
        <v>0</v>
      </c>
      <c r="F131" s="4" t="s">
        <v>0</v>
      </c>
      <c r="G131">
        <v>768</v>
      </c>
      <c r="H131" s="4">
        <v>0</v>
      </c>
    </row>
    <row r="132" spans="1:8" x14ac:dyDescent="0.4">
      <c r="A132" s="4">
        <v>126</v>
      </c>
      <c r="B132" s="4">
        <v>42</v>
      </c>
      <c r="C132" s="4">
        <v>57</v>
      </c>
      <c r="D132" s="10">
        <f t="shared" si="2"/>
        <v>0</v>
      </c>
      <c r="E132" s="4">
        <f t="shared" si="3"/>
        <v>0</v>
      </c>
      <c r="F132" s="4" t="s">
        <v>2</v>
      </c>
      <c r="G132">
        <v>715</v>
      </c>
      <c r="H132" s="4">
        <v>0</v>
      </c>
    </row>
    <row r="133" spans="1:8" x14ac:dyDescent="0.4">
      <c r="A133" s="4">
        <v>127</v>
      </c>
      <c r="B133" s="4">
        <v>63</v>
      </c>
      <c r="C133" s="4">
        <v>57</v>
      </c>
      <c r="D133" s="10">
        <f t="shared" si="2"/>
        <v>1</v>
      </c>
      <c r="E133" s="4">
        <f t="shared" si="3"/>
        <v>0</v>
      </c>
      <c r="F133" s="4" t="s">
        <v>0</v>
      </c>
      <c r="G133">
        <v>770</v>
      </c>
      <c r="H133" s="4">
        <v>0</v>
      </c>
    </row>
    <row r="134" spans="1:8" x14ac:dyDescent="0.4">
      <c r="A134" s="4">
        <v>128</v>
      </c>
      <c r="B134" s="4">
        <v>39</v>
      </c>
      <c r="C134" s="4">
        <v>38</v>
      </c>
      <c r="D134" s="10">
        <f t="shared" si="2"/>
        <v>1</v>
      </c>
      <c r="E134" s="4">
        <f t="shared" si="3"/>
        <v>0</v>
      </c>
      <c r="F134" s="4" t="s">
        <v>0</v>
      </c>
      <c r="G134">
        <v>508</v>
      </c>
      <c r="H134" s="4">
        <v>0</v>
      </c>
    </row>
    <row r="135" spans="1:8" x14ac:dyDescent="0.4">
      <c r="A135" s="4">
        <v>129</v>
      </c>
      <c r="B135" s="4">
        <v>44</v>
      </c>
      <c r="C135" s="4">
        <v>46</v>
      </c>
      <c r="D135" s="10">
        <f t="shared" si="2"/>
        <v>0</v>
      </c>
      <c r="E135" s="4">
        <f t="shared" si="3"/>
        <v>0</v>
      </c>
      <c r="F135" s="4" t="s">
        <v>2</v>
      </c>
      <c r="G135">
        <v>527</v>
      </c>
      <c r="H135" s="4">
        <v>0</v>
      </c>
    </row>
    <row r="136" spans="1:8" x14ac:dyDescent="0.4">
      <c r="A136" s="4">
        <v>130</v>
      </c>
      <c r="B136" s="4">
        <v>43</v>
      </c>
      <c r="C136" s="4">
        <v>55</v>
      </c>
      <c r="D136" s="10">
        <f t="shared" ref="D136:D172" si="4">IF(F136="general",1,0)</f>
        <v>0</v>
      </c>
      <c r="E136" s="4">
        <f t="shared" ref="E136:E199" si="5">IF(F136="vocational",1,0)</f>
        <v>0</v>
      </c>
      <c r="F136" s="4" t="s">
        <v>2</v>
      </c>
      <c r="G136">
        <v>685</v>
      </c>
      <c r="H136" s="4">
        <v>0</v>
      </c>
    </row>
    <row r="137" spans="1:8" x14ac:dyDescent="0.4">
      <c r="A137" s="4">
        <v>131</v>
      </c>
      <c r="B137" s="4">
        <v>65</v>
      </c>
      <c r="C137" s="4">
        <v>57</v>
      </c>
      <c r="D137" s="10">
        <f t="shared" si="4"/>
        <v>1</v>
      </c>
      <c r="E137" s="4">
        <f t="shared" si="5"/>
        <v>0</v>
      </c>
      <c r="F137" s="4" t="s">
        <v>0</v>
      </c>
      <c r="G137">
        <v>649</v>
      </c>
      <c r="H137" s="4">
        <v>0</v>
      </c>
    </row>
    <row r="138" spans="1:8" x14ac:dyDescent="0.4">
      <c r="A138" s="4">
        <v>132</v>
      </c>
      <c r="B138" s="4">
        <v>73</v>
      </c>
      <c r="C138" s="4">
        <v>73</v>
      </c>
      <c r="D138" s="10">
        <f t="shared" si="4"/>
        <v>1</v>
      </c>
      <c r="E138" s="4">
        <f t="shared" si="5"/>
        <v>0</v>
      </c>
      <c r="F138" s="4" t="s">
        <v>0</v>
      </c>
      <c r="G138">
        <v>800</v>
      </c>
      <c r="H138" s="4">
        <v>0</v>
      </c>
    </row>
    <row r="139" spans="1:8" x14ac:dyDescent="0.4">
      <c r="A139" s="4">
        <v>133</v>
      </c>
      <c r="B139" s="4">
        <v>50</v>
      </c>
      <c r="C139" s="4">
        <v>40</v>
      </c>
      <c r="D139" s="10">
        <f t="shared" si="4"/>
        <v>0</v>
      </c>
      <c r="E139" s="4">
        <f t="shared" si="5"/>
        <v>1</v>
      </c>
      <c r="F139" s="4" t="s">
        <v>1</v>
      </c>
      <c r="G139">
        <v>535</v>
      </c>
      <c r="H139" s="4">
        <v>0</v>
      </c>
    </row>
    <row r="140" spans="1:8" x14ac:dyDescent="0.4">
      <c r="A140" s="4">
        <v>134</v>
      </c>
      <c r="B140" s="4">
        <v>44</v>
      </c>
      <c r="C140" s="4">
        <v>39</v>
      </c>
      <c r="D140" s="10">
        <f t="shared" si="4"/>
        <v>0</v>
      </c>
      <c r="E140" s="4">
        <f t="shared" si="5"/>
        <v>0</v>
      </c>
      <c r="F140" s="4" t="s">
        <v>2</v>
      </c>
      <c r="G140">
        <v>474</v>
      </c>
      <c r="H140" s="4">
        <v>0</v>
      </c>
    </row>
    <row r="141" spans="1:8" x14ac:dyDescent="0.4">
      <c r="A141" s="4">
        <v>135</v>
      </c>
      <c r="B141" s="4">
        <v>63</v>
      </c>
      <c r="C141" s="4">
        <v>65</v>
      </c>
      <c r="D141" s="10">
        <f t="shared" si="4"/>
        <v>1</v>
      </c>
      <c r="E141" s="4">
        <f t="shared" si="5"/>
        <v>0</v>
      </c>
      <c r="F141" s="4" t="s">
        <v>0</v>
      </c>
      <c r="G141">
        <v>696</v>
      </c>
      <c r="H141" s="4">
        <v>0</v>
      </c>
    </row>
    <row r="142" spans="1:8" x14ac:dyDescent="0.4">
      <c r="A142" s="4">
        <v>136</v>
      </c>
      <c r="B142" s="4">
        <v>65</v>
      </c>
      <c r="C142" s="4">
        <v>70</v>
      </c>
      <c r="D142" s="10">
        <f t="shared" si="4"/>
        <v>1</v>
      </c>
      <c r="E142" s="4">
        <f t="shared" si="5"/>
        <v>0</v>
      </c>
      <c r="F142" s="4" t="s">
        <v>0</v>
      </c>
      <c r="G142">
        <v>792</v>
      </c>
      <c r="H142" s="4">
        <v>0</v>
      </c>
    </row>
    <row r="143" spans="1:8" x14ac:dyDescent="0.4">
      <c r="A143" s="4">
        <v>137</v>
      </c>
      <c r="B143" s="4">
        <v>63</v>
      </c>
      <c r="C143" s="4">
        <v>65</v>
      </c>
      <c r="D143" s="10">
        <f t="shared" si="4"/>
        <v>1</v>
      </c>
      <c r="E143" s="4">
        <f t="shared" si="5"/>
        <v>0</v>
      </c>
      <c r="F143" s="4" t="s">
        <v>0</v>
      </c>
      <c r="G143">
        <v>800</v>
      </c>
      <c r="H143" s="4">
        <v>0</v>
      </c>
    </row>
    <row r="144" spans="1:8" x14ac:dyDescent="0.4">
      <c r="A144" s="4">
        <v>138</v>
      </c>
      <c r="B144" s="4">
        <v>43</v>
      </c>
      <c r="C144" s="4">
        <v>40</v>
      </c>
      <c r="D144" s="10">
        <f t="shared" si="4"/>
        <v>0</v>
      </c>
      <c r="E144" s="4">
        <f t="shared" si="5"/>
        <v>1</v>
      </c>
      <c r="F144" s="4" t="s">
        <v>1</v>
      </c>
      <c r="G144">
        <v>427</v>
      </c>
      <c r="H144" s="4">
        <v>0</v>
      </c>
    </row>
    <row r="145" spans="1:8" x14ac:dyDescent="0.4">
      <c r="A145" s="4">
        <v>139</v>
      </c>
      <c r="B145" s="4">
        <v>68</v>
      </c>
      <c r="C145" s="4">
        <v>61</v>
      </c>
      <c r="D145" s="10">
        <f t="shared" si="4"/>
        <v>1</v>
      </c>
      <c r="E145" s="4">
        <f t="shared" si="5"/>
        <v>0</v>
      </c>
      <c r="F145" s="4" t="s">
        <v>0</v>
      </c>
      <c r="G145">
        <v>800</v>
      </c>
      <c r="H145" s="4">
        <v>0</v>
      </c>
    </row>
    <row r="146" spans="1:8" x14ac:dyDescent="0.4">
      <c r="A146" s="4">
        <v>140</v>
      </c>
      <c r="B146" s="4">
        <v>44</v>
      </c>
      <c r="C146" s="4">
        <v>40</v>
      </c>
      <c r="D146" s="10">
        <f t="shared" si="4"/>
        <v>0</v>
      </c>
      <c r="E146" s="4">
        <f t="shared" si="5"/>
        <v>1</v>
      </c>
      <c r="F146" s="4" t="s">
        <v>1</v>
      </c>
      <c r="G146">
        <v>399</v>
      </c>
      <c r="H146" s="4">
        <v>0</v>
      </c>
    </row>
    <row r="147" spans="1:8" x14ac:dyDescent="0.4">
      <c r="A147" s="4">
        <v>141</v>
      </c>
      <c r="B147" s="4">
        <v>63</v>
      </c>
      <c r="C147" s="4">
        <v>47</v>
      </c>
      <c r="D147" s="10">
        <f t="shared" si="4"/>
        <v>0</v>
      </c>
      <c r="E147" s="4">
        <f t="shared" si="5"/>
        <v>1</v>
      </c>
      <c r="F147" s="4" t="s">
        <v>1</v>
      </c>
      <c r="G147">
        <v>566</v>
      </c>
      <c r="H147" s="4">
        <v>0</v>
      </c>
    </row>
    <row r="148" spans="1:8" x14ac:dyDescent="0.4">
      <c r="A148" s="4">
        <v>142</v>
      </c>
      <c r="B148" s="4">
        <v>47</v>
      </c>
      <c r="C148" s="4">
        <v>52</v>
      </c>
      <c r="D148" s="10">
        <f t="shared" si="4"/>
        <v>0</v>
      </c>
      <c r="E148" s="4">
        <f t="shared" si="5"/>
        <v>1</v>
      </c>
      <c r="F148" s="4" t="s">
        <v>1</v>
      </c>
      <c r="G148">
        <v>523</v>
      </c>
      <c r="H148" s="4">
        <v>0</v>
      </c>
    </row>
    <row r="149" spans="1:8" x14ac:dyDescent="0.4">
      <c r="A149" s="4">
        <v>143</v>
      </c>
      <c r="B149" s="4">
        <v>63</v>
      </c>
      <c r="C149" s="4">
        <v>75</v>
      </c>
      <c r="D149" s="10">
        <f t="shared" si="4"/>
        <v>0</v>
      </c>
      <c r="E149" s="4">
        <f t="shared" si="5"/>
        <v>1</v>
      </c>
      <c r="F149" s="4" t="s">
        <v>1</v>
      </c>
      <c r="G149">
        <v>800</v>
      </c>
      <c r="H149" s="4">
        <v>0</v>
      </c>
    </row>
    <row r="150" spans="1:8" x14ac:dyDescent="0.4">
      <c r="A150" s="4">
        <v>144</v>
      </c>
      <c r="B150" s="4">
        <v>60</v>
      </c>
      <c r="C150" s="4">
        <v>58</v>
      </c>
      <c r="D150" s="10">
        <f t="shared" si="4"/>
        <v>0</v>
      </c>
      <c r="E150" s="4">
        <f t="shared" si="5"/>
        <v>0</v>
      </c>
      <c r="F150" s="4" t="s">
        <v>2</v>
      </c>
      <c r="G150">
        <v>712</v>
      </c>
      <c r="H150" s="4">
        <v>0</v>
      </c>
    </row>
    <row r="151" spans="1:8" x14ac:dyDescent="0.4">
      <c r="A151" s="4">
        <v>145</v>
      </c>
      <c r="B151" s="4">
        <v>42</v>
      </c>
      <c r="C151" s="4">
        <v>38</v>
      </c>
      <c r="D151" s="10">
        <f t="shared" si="4"/>
        <v>0</v>
      </c>
      <c r="E151" s="4">
        <f t="shared" si="5"/>
        <v>1</v>
      </c>
      <c r="F151" s="4" t="s">
        <v>1</v>
      </c>
      <c r="G151">
        <v>458</v>
      </c>
      <c r="H151" s="4">
        <v>0</v>
      </c>
    </row>
    <row r="152" spans="1:8" x14ac:dyDescent="0.4">
      <c r="A152" s="4">
        <v>146</v>
      </c>
      <c r="B152" s="4">
        <v>55</v>
      </c>
      <c r="C152" s="4">
        <v>64</v>
      </c>
      <c r="D152" s="10">
        <f t="shared" si="4"/>
        <v>1</v>
      </c>
      <c r="E152" s="4">
        <f t="shared" si="5"/>
        <v>0</v>
      </c>
      <c r="F152" s="4" t="s">
        <v>0</v>
      </c>
      <c r="G152">
        <v>688</v>
      </c>
      <c r="H152" s="4">
        <v>0</v>
      </c>
    </row>
    <row r="153" spans="1:8" x14ac:dyDescent="0.4">
      <c r="A153" s="4">
        <v>147</v>
      </c>
      <c r="B153" s="4">
        <v>47</v>
      </c>
      <c r="C153" s="4">
        <v>53</v>
      </c>
      <c r="D153" s="10">
        <f t="shared" si="4"/>
        <v>1</v>
      </c>
      <c r="E153" s="4">
        <f t="shared" si="5"/>
        <v>0</v>
      </c>
      <c r="F153" s="4" t="s">
        <v>0</v>
      </c>
      <c r="G153">
        <v>619</v>
      </c>
      <c r="H153" s="4">
        <v>0</v>
      </c>
    </row>
    <row r="154" spans="1:8" x14ac:dyDescent="0.4">
      <c r="A154" s="4">
        <v>148</v>
      </c>
      <c r="B154" s="4">
        <v>42</v>
      </c>
      <c r="C154" s="4">
        <v>51</v>
      </c>
      <c r="D154" s="10">
        <f t="shared" si="4"/>
        <v>0</v>
      </c>
      <c r="E154" s="4">
        <f t="shared" si="5"/>
        <v>1</v>
      </c>
      <c r="F154" s="4" t="s">
        <v>1</v>
      </c>
      <c r="G154">
        <v>565</v>
      </c>
      <c r="H154" s="4">
        <v>0</v>
      </c>
    </row>
    <row r="155" spans="1:8" x14ac:dyDescent="0.4">
      <c r="A155" s="4">
        <v>149</v>
      </c>
      <c r="B155" s="4">
        <v>63</v>
      </c>
      <c r="C155" s="4">
        <v>49</v>
      </c>
      <c r="D155" s="10">
        <f t="shared" si="4"/>
        <v>0</v>
      </c>
      <c r="E155" s="4">
        <f t="shared" si="5"/>
        <v>0</v>
      </c>
      <c r="F155" s="4" t="s">
        <v>2</v>
      </c>
      <c r="G155">
        <v>727</v>
      </c>
      <c r="H155" s="4">
        <v>0</v>
      </c>
    </row>
    <row r="156" spans="1:8" x14ac:dyDescent="0.4">
      <c r="A156" s="4">
        <v>150</v>
      </c>
      <c r="B156" s="4">
        <v>42</v>
      </c>
      <c r="C156" s="4">
        <v>57</v>
      </c>
      <c r="D156" s="10">
        <f t="shared" si="4"/>
        <v>0</v>
      </c>
      <c r="E156" s="4">
        <f t="shared" si="5"/>
        <v>1</v>
      </c>
      <c r="F156" s="4" t="s">
        <v>1</v>
      </c>
      <c r="G156">
        <v>554</v>
      </c>
      <c r="H156" s="4">
        <v>0</v>
      </c>
    </row>
    <row r="157" spans="1:8" x14ac:dyDescent="0.4">
      <c r="A157" s="4">
        <v>151</v>
      </c>
      <c r="B157" s="4">
        <v>47</v>
      </c>
      <c r="C157" s="4">
        <v>52</v>
      </c>
      <c r="D157" s="10">
        <f t="shared" si="4"/>
        <v>0</v>
      </c>
      <c r="E157" s="4">
        <f t="shared" si="5"/>
        <v>1</v>
      </c>
      <c r="F157" s="4" t="s">
        <v>1</v>
      </c>
      <c r="G157">
        <v>633</v>
      </c>
      <c r="H157" s="4">
        <v>0</v>
      </c>
    </row>
    <row r="158" spans="1:8" x14ac:dyDescent="0.4">
      <c r="A158" s="4">
        <v>152</v>
      </c>
      <c r="B158" s="4">
        <v>55</v>
      </c>
      <c r="C158" s="4">
        <v>56</v>
      </c>
      <c r="D158" s="10">
        <f t="shared" si="4"/>
        <v>1</v>
      </c>
      <c r="E158" s="4">
        <f t="shared" si="5"/>
        <v>0</v>
      </c>
      <c r="F158" s="4" t="s">
        <v>0</v>
      </c>
      <c r="G158">
        <v>687</v>
      </c>
      <c r="H158" s="4">
        <v>0</v>
      </c>
    </row>
    <row r="159" spans="1:8" x14ac:dyDescent="0.4">
      <c r="A159" s="4">
        <v>153</v>
      </c>
      <c r="B159" s="4">
        <v>39</v>
      </c>
      <c r="C159" s="4">
        <v>40</v>
      </c>
      <c r="D159" s="10">
        <f t="shared" si="4"/>
        <v>0</v>
      </c>
      <c r="E159" s="4">
        <f t="shared" si="5"/>
        <v>1</v>
      </c>
      <c r="F159" s="4" t="s">
        <v>1</v>
      </c>
      <c r="G159">
        <v>665</v>
      </c>
      <c r="H159" s="4">
        <v>0</v>
      </c>
    </row>
    <row r="160" spans="1:8" x14ac:dyDescent="0.4">
      <c r="A160" s="4">
        <v>154</v>
      </c>
      <c r="B160" s="4">
        <v>65</v>
      </c>
      <c r="C160" s="4">
        <v>66</v>
      </c>
      <c r="D160" s="10">
        <f t="shared" si="4"/>
        <v>1</v>
      </c>
      <c r="E160" s="4">
        <f t="shared" si="5"/>
        <v>0</v>
      </c>
      <c r="F160" s="4" t="s">
        <v>0</v>
      </c>
      <c r="G160">
        <v>796</v>
      </c>
      <c r="H160" s="4">
        <v>0</v>
      </c>
    </row>
    <row r="161" spans="1:8" x14ac:dyDescent="0.4">
      <c r="A161" s="4">
        <v>155</v>
      </c>
      <c r="B161" s="4">
        <v>44</v>
      </c>
      <c r="C161" s="4">
        <v>46</v>
      </c>
      <c r="D161" s="10">
        <f t="shared" si="4"/>
        <v>0</v>
      </c>
      <c r="E161" s="4">
        <f t="shared" si="5"/>
        <v>0</v>
      </c>
      <c r="F161" s="4" t="s">
        <v>2</v>
      </c>
      <c r="G161">
        <v>614</v>
      </c>
      <c r="H161" s="4">
        <v>0</v>
      </c>
    </row>
    <row r="162" spans="1:8" x14ac:dyDescent="0.4">
      <c r="A162" s="4">
        <v>156</v>
      </c>
      <c r="B162" s="4">
        <v>50</v>
      </c>
      <c r="C162" s="4">
        <v>53</v>
      </c>
      <c r="D162" s="10">
        <f t="shared" si="4"/>
        <v>1</v>
      </c>
      <c r="E162" s="4">
        <f t="shared" si="5"/>
        <v>0</v>
      </c>
      <c r="F162" s="4" t="s">
        <v>0</v>
      </c>
      <c r="G162">
        <v>618</v>
      </c>
      <c r="H162" s="4">
        <v>0</v>
      </c>
    </row>
    <row r="163" spans="1:8" x14ac:dyDescent="0.4">
      <c r="A163" s="4">
        <v>157</v>
      </c>
      <c r="B163" s="4">
        <v>68</v>
      </c>
      <c r="C163" s="4">
        <v>58</v>
      </c>
      <c r="D163" s="10">
        <f t="shared" si="4"/>
        <v>0</v>
      </c>
      <c r="E163" s="4">
        <f t="shared" si="5"/>
        <v>0</v>
      </c>
      <c r="F163" s="4" t="s">
        <v>2</v>
      </c>
      <c r="G163">
        <v>733</v>
      </c>
      <c r="H163" s="4">
        <v>0</v>
      </c>
    </row>
    <row r="164" spans="1:8" x14ac:dyDescent="0.4">
      <c r="A164" s="4">
        <v>158</v>
      </c>
      <c r="B164" s="4">
        <v>52</v>
      </c>
      <c r="C164" s="4">
        <v>55</v>
      </c>
      <c r="D164" s="10">
        <f t="shared" si="4"/>
        <v>0</v>
      </c>
      <c r="E164" s="4">
        <f t="shared" si="5"/>
        <v>0</v>
      </c>
      <c r="F164" s="4" t="s">
        <v>2</v>
      </c>
      <c r="G164">
        <v>657</v>
      </c>
      <c r="H164" s="4">
        <v>0</v>
      </c>
    </row>
    <row r="165" spans="1:8" x14ac:dyDescent="0.4">
      <c r="A165" s="4">
        <v>159</v>
      </c>
      <c r="B165" s="4">
        <v>55</v>
      </c>
      <c r="C165" s="4">
        <v>54</v>
      </c>
      <c r="D165" s="10">
        <f t="shared" si="4"/>
        <v>1</v>
      </c>
      <c r="E165" s="4">
        <f t="shared" si="5"/>
        <v>0</v>
      </c>
      <c r="F165" s="4" t="s">
        <v>0</v>
      </c>
      <c r="G165">
        <v>592</v>
      </c>
      <c r="H165" s="4">
        <v>0</v>
      </c>
    </row>
    <row r="166" spans="1:8" x14ac:dyDescent="0.4">
      <c r="A166" s="4">
        <v>160</v>
      </c>
      <c r="B166" s="4">
        <v>55</v>
      </c>
      <c r="C166" s="4">
        <v>55</v>
      </c>
      <c r="D166" s="10">
        <f t="shared" si="4"/>
        <v>1</v>
      </c>
      <c r="E166" s="4">
        <f t="shared" si="5"/>
        <v>0</v>
      </c>
      <c r="F166" s="4" t="s">
        <v>0</v>
      </c>
      <c r="G166">
        <v>746</v>
      </c>
      <c r="H166" s="4">
        <v>0</v>
      </c>
    </row>
    <row r="167" spans="1:8" x14ac:dyDescent="0.4">
      <c r="A167" s="4">
        <v>161</v>
      </c>
      <c r="B167" s="4">
        <v>57</v>
      </c>
      <c r="C167" s="4">
        <v>72</v>
      </c>
      <c r="D167" s="10">
        <f t="shared" si="4"/>
        <v>1</v>
      </c>
      <c r="E167" s="4">
        <f t="shared" si="5"/>
        <v>0</v>
      </c>
      <c r="F167" s="4" t="s">
        <v>0</v>
      </c>
      <c r="G167">
        <v>800</v>
      </c>
      <c r="H167" s="4">
        <v>0</v>
      </c>
    </row>
    <row r="168" spans="1:8" x14ac:dyDescent="0.4">
      <c r="A168" s="4">
        <v>162</v>
      </c>
      <c r="B168" s="4">
        <v>57</v>
      </c>
      <c r="C168" s="4">
        <v>40</v>
      </c>
      <c r="D168" s="10">
        <f t="shared" si="4"/>
        <v>0</v>
      </c>
      <c r="E168" s="4">
        <f t="shared" si="5"/>
        <v>1</v>
      </c>
      <c r="F168" s="4" t="s">
        <v>1</v>
      </c>
      <c r="G168">
        <v>702</v>
      </c>
      <c r="H168" s="4">
        <v>0</v>
      </c>
    </row>
    <row r="169" spans="1:8" x14ac:dyDescent="0.4">
      <c r="A169" s="4">
        <v>163</v>
      </c>
      <c r="B169" s="4">
        <v>52</v>
      </c>
      <c r="C169" s="4">
        <v>64</v>
      </c>
      <c r="D169" s="10">
        <f t="shared" si="4"/>
        <v>1</v>
      </c>
      <c r="E169" s="4">
        <f t="shared" si="5"/>
        <v>0</v>
      </c>
      <c r="F169" s="4" t="s">
        <v>0</v>
      </c>
      <c r="G169">
        <v>800</v>
      </c>
      <c r="H169" s="4">
        <v>0</v>
      </c>
    </row>
    <row r="170" spans="1:8" x14ac:dyDescent="0.4">
      <c r="A170" s="4">
        <v>164</v>
      </c>
      <c r="B170" s="4">
        <v>31</v>
      </c>
      <c r="C170" s="4">
        <v>46</v>
      </c>
      <c r="D170" s="10">
        <f t="shared" si="4"/>
        <v>0</v>
      </c>
      <c r="E170" s="4">
        <f t="shared" si="5"/>
        <v>1</v>
      </c>
      <c r="F170" s="4" t="s">
        <v>1</v>
      </c>
      <c r="G170">
        <v>516</v>
      </c>
      <c r="H170" s="4">
        <v>0</v>
      </c>
    </row>
    <row r="171" spans="1:8" x14ac:dyDescent="0.4">
      <c r="A171" s="4">
        <v>165</v>
      </c>
      <c r="B171" s="4">
        <v>36</v>
      </c>
      <c r="C171" s="4">
        <v>54</v>
      </c>
      <c r="D171" s="10">
        <f t="shared" si="4"/>
        <v>0</v>
      </c>
      <c r="E171" s="4">
        <f t="shared" si="5"/>
        <v>1</v>
      </c>
      <c r="F171" s="4" t="s">
        <v>1</v>
      </c>
      <c r="G171">
        <v>604</v>
      </c>
      <c r="H171" s="4">
        <v>0</v>
      </c>
    </row>
    <row r="172" spans="1:8" x14ac:dyDescent="0.4">
      <c r="A172" s="4">
        <v>166</v>
      </c>
      <c r="B172" s="4">
        <v>52</v>
      </c>
      <c r="C172" s="4">
        <v>53</v>
      </c>
      <c r="D172" s="10">
        <f t="shared" si="4"/>
        <v>1</v>
      </c>
      <c r="E172" s="4">
        <f t="shared" si="5"/>
        <v>0</v>
      </c>
      <c r="F172" s="4" t="s">
        <v>0</v>
      </c>
      <c r="G172">
        <v>669</v>
      </c>
      <c r="H172" s="4">
        <v>0</v>
      </c>
    </row>
    <row r="173" spans="1:8" x14ac:dyDescent="0.4">
      <c r="A173" s="4">
        <v>167</v>
      </c>
      <c r="B173" s="4">
        <v>63</v>
      </c>
      <c r="C173" s="4">
        <v>35</v>
      </c>
      <c r="D173" s="10">
        <f t="shared" ref="D173:D207" si="6">IF(F173="general",1,0)</f>
        <v>0</v>
      </c>
      <c r="E173" s="4">
        <f t="shared" si="5"/>
        <v>0</v>
      </c>
      <c r="F173" s="4" t="s">
        <v>2</v>
      </c>
      <c r="G173">
        <v>563</v>
      </c>
      <c r="H173" s="4">
        <v>0</v>
      </c>
    </row>
    <row r="174" spans="1:8" x14ac:dyDescent="0.4">
      <c r="A174" s="4">
        <v>168</v>
      </c>
      <c r="B174" s="4">
        <v>52</v>
      </c>
      <c r="C174" s="4">
        <v>57</v>
      </c>
      <c r="D174" s="10">
        <f t="shared" si="6"/>
        <v>1</v>
      </c>
      <c r="E174" s="4">
        <f t="shared" si="5"/>
        <v>0</v>
      </c>
      <c r="F174" s="4" t="s">
        <v>0</v>
      </c>
      <c r="G174">
        <v>695</v>
      </c>
      <c r="H174" s="4">
        <v>0</v>
      </c>
    </row>
    <row r="175" spans="1:8" x14ac:dyDescent="0.4">
      <c r="A175" s="4">
        <v>169</v>
      </c>
      <c r="B175" s="4">
        <v>55</v>
      </c>
      <c r="C175" s="4">
        <v>63</v>
      </c>
      <c r="D175" s="10">
        <f t="shared" si="6"/>
        <v>0</v>
      </c>
      <c r="E175" s="4">
        <f t="shared" si="5"/>
        <v>0</v>
      </c>
      <c r="F175" s="4" t="s">
        <v>2</v>
      </c>
      <c r="G175">
        <v>779</v>
      </c>
      <c r="H175" s="4">
        <v>0</v>
      </c>
    </row>
    <row r="176" spans="1:8" x14ac:dyDescent="0.4">
      <c r="A176" s="4">
        <v>170</v>
      </c>
      <c r="B176" s="4">
        <v>47</v>
      </c>
      <c r="C176" s="4">
        <v>61</v>
      </c>
      <c r="D176" s="10">
        <f t="shared" si="6"/>
        <v>1</v>
      </c>
      <c r="E176" s="4">
        <f t="shared" si="5"/>
        <v>0</v>
      </c>
      <c r="F176" s="4" t="s">
        <v>0</v>
      </c>
      <c r="G176">
        <v>712</v>
      </c>
      <c r="H176" s="4">
        <v>0</v>
      </c>
    </row>
    <row r="177" spans="1:8" x14ac:dyDescent="0.4">
      <c r="A177" s="4">
        <v>171</v>
      </c>
      <c r="B177" s="4">
        <v>60</v>
      </c>
      <c r="C177" s="4">
        <v>60</v>
      </c>
      <c r="D177" s="10">
        <f t="shared" si="6"/>
        <v>1</v>
      </c>
      <c r="E177" s="4">
        <f t="shared" si="5"/>
        <v>0</v>
      </c>
      <c r="F177" s="4" t="s">
        <v>0</v>
      </c>
      <c r="G177">
        <v>678</v>
      </c>
      <c r="H177" s="4">
        <v>0</v>
      </c>
    </row>
    <row r="178" spans="1:8" x14ac:dyDescent="0.4">
      <c r="A178" s="4">
        <v>172</v>
      </c>
      <c r="B178" s="4">
        <v>47</v>
      </c>
      <c r="C178" s="4">
        <v>57</v>
      </c>
      <c r="D178" s="10">
        <f t="shared" si="6"/>
        <v>1</v>
      </c>
      <c r="E178" s="4">
        <f t="shared" si="5"/>
        <v>0</v>
      </c>
      <c r="F178" s="4" t="s">
        <v>0</v>
      </c>
      <c r="G178">
        <v>618</v>
      </c>
      <c r="H178" s="4">
        <v>0</v>
      </c>
    </row>
    <row r="179" spans="1:8" x14ac:dyDescent="0.4">
      <c r="A179" s="4">
        <v>173</v>
      </c>
      <c r="B179" s="4">
        <v>50</v>
      </c>
      <c r="C179" s="4">
        <v>61</v>
      </c>
      <c r="D179" s="10">
        <f t="shared" si="6"/>
        <v>0</v>
      </c>
      <c r="E179" s="4">
        <f t="shared" si="5"/>
        <v>0</v>
      </c>
      <c r="F179" s="4" t="s">
        <v>2</v>
      </c>
      <c r="G179">
        <v>650</v>
      </c>
      <c r="H179" s="4">
        <v>0</v>
      </c>
    </row>
    <row r="180" spans="1:8" x14ac:dyDescent="0.4">
      <c r="A180" s="4">
        <v>174</v>
      </c>
      <c r="B180" s="4">
        <v>68</v>
      </c>
      <c r="C180" s="4">
        <v>71</v>
      </c>
      <c r="D180" s="10">
        <f t="shared" si="6"/>
        <v>1</v>
      </c>
      <c r="E180" s="4">
        <f t="shared" si="5"/>
        <v>0</v>
      </c>
      <c r="F180" s="4" t="s">
        <v>0</v>
      </c>
      <c r="G180">
        <v>750</v>
      </c>
      <c r="H180" s="4">
        <v>0</v>
      </c>
    </row>
    <row r="181" spans="1:8" x14ac:dyDescent="0.4">
      <c r="A181" s="4">
        <v>175</v>
      </c>
      <c r="B181" s="4">
        <v>36</v>
      </c>
      <c r="C181" s="4">
        <v>42</v>
      </c>
      <c r="D181" s="10">
        <f t="shared" si="6"/>
        <v>0</v>
      </c>
      <c r="E181" s="4">
        <f t="shared" si="5"/>
        <v>0</v>
      </c>
      <c r="F181" s="4" t="s">
        <v>2</v>
      </c>
      <c r="G181">
        <v>454</v>
      </c>
      <c r="H181" s="4">
        <v>0</v>
      </c>
    </row>
    <row r="182" spans="1:8" x14ac:dyDescent="0.4">
      <c r="A182" s="4">
        <v>176</v>
      </c>
      <c r="B182" s="4">
        <v>47</v>
      </c>
      <c r="C182" s="4">
        <v>41</v>
      </c>
      <c r="D182" s="10">
        <f t="shared" si="6"/>
        <v>1</v>
      </c>
      <c r="E182" s="4">
        <f t="shared" si="5"/>
        <v>0</v>
      </c>
      <c r="F182" s="4" t="s">
        <v>0</v>
      </c>
      <c r="G182">
        <v>586</v>
      </c>
      <c r="H182" s="4">
        <v>0</v>
      </c>
    </row>
    <row r="183" spans="1:8" x14ac:dyDescent="0.4">
      <c r="A183" s="4">
        <v>177</v>
      </c>
      <c r="B183" s="4">
        <v>55</v>
      </c>
      <c r="C183" s="4">
        <v>62</v>
      </c>
      <c r="D183" s="10">
        <f t="shared" si="6"/>
        <v>1</v>
      </c>
      <c r="E183" s="4">
        <f t="shared" si="5"/>
        <v>0</v>
      </c>
      <c r="F183" s="4" t="s">
        <v>0</v>
      </c>
      <c r="G183">
        <v>688</v>
      </c>
      <c r="H183" s="4">
        <v>0</v>
      </c>
    </row>
    <row r="184" spans="1:8" x14ac:dyDescent="0.4">
      <c r="A184" s="4">
        <v>178</v>
      </c>
      <c r="B184" s="4">
        <v>47</v>
      </c>
      <c r="C184" s="4">
        <v>57</v>
      </c>
      <c r="D184" s="10">
        <f t="shared" si="6"/>
        <v>0</v>
      </c>
      <c r="E184" s="4">
        <f t="shared" si="5"/>
        <v>1</v>
      </c>
      <c r="F184" s="4" t="s">
        <v>1</v>
      </c>
      <c r="G184">
        <v>640</v>
      </c>
      <c r="H184" s="4">
        <v>0</v>
      </c>
    </row>
    <row r="185" spans="1:8" x14ac:dyDescent="0.4">
      <c r="A185" s="4">
        <v>179</v>
      </c>
      <c r="B185" s="4">
        <v>47</v>
      </c>
      <c r="C185" s="4">
        <v>60</v>
      </c>
      <c r="D185" s="10">
        <f t="shared" si="6"/>
        <v>1</v>
      </c>
      <c r="E185" s="4">
        <f t="shared" si="5"/>
        <v>0</v>
      </c>
      <c r="F185" s="4" t="s">
        <v>0</v>
      </c>
      <c r="G185">
        <v>609</v>
      </c>
      <c r="H185" s="4">
        <v>0</v>
      </c>
    </row>
    <row r="186" spans="1:8" x14ac:dyDescent="0.4">
      <c r="A186" s="4">
        <v>180</v>
      </c>
      <c r="B186" s="4">
        <v>71</v>
      </c>
      <c r="C186" s="4">
        <v>69</v>
      </c>
      <c r="D186" s="10">
        <f t="shared" si="6"/>
        <v>1</v>
      </c>
      <c r="E186" s="4">
        <f t="shared" si="5"/>
        <v>0</v>
      </c>
      <c r="F186" s="4" t="s">
        <v>0</v>
      </c>
      <c r="G186">
        <v>800</v>
      </c>
      <c r="H186" s="4">
        <v>0</v>
      </c>
    </row>
    <row r="187" spans="1:8" x14ac:dyDescent="0.4">
      <c r="A187" s="4">
        <v>181</v>
      </c>
      <c r="B187" s="4">
        <v>50</v>
      </c>
      <c r="C187" s="4">
        <v>45</v>
      </c>
      <c r="D187" s="10">
        <f t="shared" si="6"/>
        <v>1</v>
      </c>
      <c r="E187" s="4">
        <f t="shared" si="5"/>
        <v>0</v>
      </c>
      <c r="F187" s="4" t="s">
        <v>0</v>
      </c>
      <c r="G187">
        <v>662</v>
      </c>
      <c r="H187" s="4">
        <v>0</v>
      </c>
    </row>
    <row r="188" spans="1:8" x14ac:dyDescent="0.4">
      <c r="A188" s="4">
        <v>182</v>
      </c>
      <c r="B188" s="4">
        <v>44</v>
      </c>
      <c r="C188" s="4">
        <v>43</v>
      </c>
      <c r="D188" s="10">
        <f t="shared" si="6"/>
        <v>1</v>
      </c>
      <c r="E188" s="4">
        <f t="shared" si="5"/>
        <v>0</v>
      </c>
      <c r="F188" s="4" t="s">
        <v>0</v>
      </c>
      <c r="G188">
        <v>462</v>
      </c>
      <c r="H188" s="4">
        <v>0</v>
      </c>
    </row>
    <row r="189" spans="1:8" x14ac:dyDescent="0.4">
      <c r="A189" s="4">
        <v>183</v>
      </c>
      <c r="B189" s="4">
        <v>63</v>
      </c>
      <c r="C189" s="4">
        <v>49</v>
      </c>
      <c r="D189" s="10">
        <f t="shared" si="6"/>
        <v>1</v>
      </c>
      <c r="E189" s="4">
        <f t="shared" si="5"/>
        <v>0</v>
      </c>
      <c r="F189" s="4" t="s">
        <v>0</v>
      </c>
      <c r="G189">
        <v>591</v>
      </c>
      <c r="H189" s="4">
        <v>0</v>
      </c>
    </row>
    <row r="190" spans="1:8" x14ac:dyDescent="0.4">
      <c r="A190" s="4">
        <v>184</v>
      </c>
      <c r="B190" s="4">
        <v>50</v>
      </c>
      <c r="C190" s="4">
        <v>53</v>
      </c>
      <c r="D190" s="10">
        <f t="shared" si="6"/>
        <v>0</v>
      </c>
      <c r="E190" s="4">
        <f t="shared" si="5"/>
        <v>1</v>
      </c>
      <c r="F190" s="4" t="s">
        <v>1</v>
      </c>
      <c r="G190">
        <v>496</v>
      </c>
      <c r="H190" s="4">
        <v>0</v>
      </c>
    </row>
    <row r="191" spans="1:8" x14ac:dyDescent="0.4">
      <c r="A191" s="4">
        <v>185</v>
      </c>
      <c r="B191" s="4">
        <v>63</v>
      </c>
      <c r="C191" s="4">
        <v>55</v>
      </c>
      <c r="D191" s="10">
        <f t="shared" si="6"/>
        <v>1</v>
      </c>
      <c r="E191" s="4">
        <f t="shared" si="5"/>
        <v>0</v>
      </c>
      <c r="F191" s="4" t="s">
        <v>0</v>
      </c>
      <c r="G191">
        <v>647</v>
      </c>
      <c r="H191" s="4">
        <v>0</v>
      </c>
    </row>
    <row r="192" spans="1:8" x14ac:dyDescent="0.4">
      <c r="A192" s="4">
        <v>186</v>
      </c>
      <c r="B192" s="4">
        <v>57</v>
      </c>
      <c r="C192" s="4">
        <v>63</v>
      </c>
      <c r="D192" s="10">
        <f t="shared" si="6"/>
        <v>1</v>
      </c>
      <c r="E192" s="4">
        <f t="shared" si="5"/>
        <v>0</v>
      </c>
      <c r="F192" s="4" t="s">
        <v>0</v>
      </c>
      <c r="G192">
        <v>681</v>
      </c>
      <c r="H192" s="4">
        <v>0</v>
      </c>
    </row>
    <row r="193" spans="1:8" x14ac:dyDescent="0.4">
      <c r="A193" s="4">
        <v>187</v>
      </c>
      <c r="B193" s="4">
        <v>57</v>
      </c>
      <c r="C193" s="4">
        <v>57</v>
      </c>
      <c r="D193" s="10">
        <f t="shared" si="6"/>
        <v>0</v>
      </c>
      <c r="E193" s="4">
        <f t="shared" si="5"/>
        <v>0</v>
      </c>
      <c r="F193" s="4" t="s">
        <v>2</v>
      </c>
      <c r="G193">
        <v>800</v>
      </c>
      <c r="H193" s="4">
        <v>0</v>
      </c>
    </row>
    <row r="194" spans="1:8" x14ac:dyDescent="0.4">
      <c r="A194" s="4">
        <v>188</v>
      </c>
      <c r="B194" s="4">
        <v>63</v>
      </c>
      <c r="C194" s="4">
        <v>56</v>
      </c>
      <c r="D194" s="10">
        <f t="shared" si="6"/>
        <v>1</v>
      </c>
      <c r="E194" s="4">
        <f t="shared" si="5"/>
        <v>0</v>
      </c>
      <c r="F194" s="4" t="s">
        <v>0</v>
      </c>
      <c r="G194">
        <v>796</v>
      </c>
      <c r="H194" s="4">
        <v>0</v>
      </c>
    </row>
    <row r="195" spans="1:8" x14ac:dyDescent="0.4">
      <c r="A195" s="4">
        <v>189</v>
      </c>
      <c r="B195" s="4">
        <v>47</v>
      </c>
      <c r="C195" s="4">
        <v>63</v>
      </c>
      <c r="D195" s="10">
        <f t="shared" si="6"/>
        <v>1</v>
      </c>
      <c r="E195" s="4">
        <f t="shared" si="5"/>
        <v>0</v>
      </c>
      <c r="F195" s="4" t="s">
        <v>0</v>
      </c>
      <c r="G195">
        <v>669</v>
      </c>
      <c r="H195" s="4">
        <v>0</v>
      </c>
    </row>
    <row r="196" spans="1:8" x14ac:dyDescent="0.4">
      <c r="A196" s="4">
        <v>190</v>
      </c>
      <c r="B196" s="4">
        <v>47</v>
      </c>
      <c r="C196" s="4">
        <v>54</v>
      </c>
      <c r="D196" s="10">
        <f t="shared" si="6"/>
        <v>1</v>
      </c>
      <c r="E196" s="4">
        <f t="shared" si="5"/>
        <v>0</v>
      </c>
      <c r="F196" s="4" t="s">
        <v>0</v>
      </c>
      <c r="G196">
        <v>661</v>
      </c>
      <c r="H196" s="4">
        <v>0</v>
      </c>
    </row>
    <row r="197" spans="1:8" x14ac:dyDescent="0.4">
      <c r="A197" s="4">
        <v>191</v>
      </c>
      <c r="B197" s="4">
        <v>47</v>
      </c>
      <c r="C197" s="4">
        <v>43</v>
      </c>
      <c r="D197" s="10">
        <f t="shared" si="6"/>
        <v>1</v>
      </c>
      <c r="E197" s="4">
        <f t="shared" si="5"/>
        <v>0</v>
      </c>
      <c r="F197" s="4" t="s">
        <v>0</v>
      </c>
      <c r="G197">
        <v>567</v>
      </c>
      <c r="H197" s="4">
        <v>0</v>
      </c>
    </row>
    <row r="198" spans="1:8" x14ac:dyDescent="0.4">
      <c r="A198" s="4">
        <v>192</v>
      </c>
      <c r="B198" s="4">
        <v>65</v>
      </c>
      <c r="C198" s="4">
        <v>63</v>
      </c>
      <c r="D198" s="10">
        <f t="shared" si="6"/>
        <v>1</v>
      </c>
      <c r="E198" s="4">
        <f t="shared" si="5"/>
        <v>0</v>
      </c>
      <c r="F198" s="4" t="s">
        <v>0</v>
      </c>
      <c r="G198">
        <v>800</v>
      </c>
      <c r="H198" s="4">
        <v>0</v>
      </c>
    </row>
    <row r="199" spans="1:8" x14ac:dyDescent="0.4">
      <c r="A199" s="4">
        <v>193</v>
      </c>
      <c r="B199" s="4">
        <v>44</v>
      </c>
      <c r="C199" s="4">
        <v>48</v>
      </c>
      <c r="D199" s="10">
        <f t="shared" si="6"/>
        <v>1</v>
      </c>
      <c r="E199" s="4">
        <f t="shared" si="5"/>
        <v>0</v>
      </c>
      <c r="F199" s="4" t="s">
        <v>0</v>
      </c>
      <c r="G199">
        <v>666</v>
      </c>
      <c r="H199" s="4">
        <v>0</v>
      </c>
    </row>
    <row r="200" spans="1:8" x14ac:dyDescent="0.4">
      <c r="A200" s="4">
        <v>194</v>
      </c>
      <c r="B200" s="4">
        <v>63</v>
      </c>
      <c r="C200" s="4">
        <v>69</v>
      </c>
      <c r="D200" s="10">
        <f t="shared" si="6"/>
        <v>1</v>
      </c>
      <c r="E200" s="4">
        <f t="shared" ref="E200:E207" si="7">IF(F200="vocational",1,0)</f>
        <v>0</v>
      </c>
      <c r="F200" s="4" t="s">
        <v>0</v>
      </c>
      <c r="G200">
        <v>800</v>
      </c>
      <c r="H200" s="4">
        <v>0</v>
      </c>
    </row>
    <row r="201" spans="1:8" x14ac:dyDescent="0.4">
      <c r="A201" s="4">
        <v>195</v>
      </c>
      <c r="B201" s="4">
        <v>57</v>
      </c>
      <c r="C201" s="4">
        <v>60</v>
      </c>
      <c r="D201" s="10">
        <f t="shared" si="6"/>
        <v>0</v>
      </c>
      <c r="E201" s="4">
        <f t="shared" si="7"/>
        <v>0</v>
      </c>
      <c r="F201" s="4" t="s">
        <v>2</v>
      </c>
      <c r="G201">
        <v>727</v>
      </c>
      <c r="H201" s="4">
        <v>0</v>
      </c>
    </row>
    <row r="202" spans="1:8" x14ac:dyDescent="0.4">
      <c r="A202" s="4">
        <v>196</v>
      </c>
      <c r="B202" s="4">
        <v>44</v>
      </c>
      <c r="C202" s="4">
        <v>49</v>
      </c>
      <c r="D202" s="10">
        <f t="shared" si="6"/>
        <v>1</v>
      </c>
      <c r="E202" s="4">
        <f t="shared" si="7"/>
        <v>0</v>
      </c>
      <c r="F202" s="4" t="s">
        <v>0</v>
      </c>
      <c r="G202">
        <v>539</v>
      </c>
      <c r="H202" s="4">
        <v>0</v>
      </c>
    </row>
    <row r="203" spans="1:8" x14ac:dyDescent="0.4">
      <c r="A203" s="4">
        <v>197</v>
      </c>
      <c r="B203" s="4">
        <v>50</v>
      </c>
      <c r="C203" s="4">
        <v>50</v>
      </c>
      <c r="D203" s="10">
        <f t="shared" si="6"/>
        <v>1</v>
      </c>
      <c r="E203" s="4">
        <f t="shared" si="7"/>
        <v>0</v>
      </c>
      <c r="F203" s="4" t="s">
        <v>0</v>
      </c>
      <c r="G203">
        <v>594</v>
      </c>
      <c r="H203" s="4">
        <v>0</v>
      </c>
    </row>
    <row r="204" spans="1:8" x14ac:dyDescent="0.4">
      <c r="A204" s="4">
        <v>198</v>
      </c>
      <c r="B204" s="4">
        <v>47</v>
      </c>
      <c r="C204" s="4">
        <v>51</v>
      </c>
      <c r="D204" s="10">
        <f t="shared" si="6"/>
        <v>1</v>
      </c>
      <c r="E204" s="4">
        <f t="shared" si="7"/>
        <v>0</v>
      </c>
      <c r="F204" s="4" t="s">
        <v>0</v>
      </c>
      <c r="G204">
        <v>616</v>
      </c>
      <c r="H204" s="4">
        <v>0</v>
      </c>
    </row>
    <row r="205" spans="1:8" x14ac:dyDescent="0.4">
      <c r="A205" s="4">
        <v>199</v>
      </c>
      <c r="B205" s="4">
        <v>52</v>
      </c>
      <c r="C205" s="4">
        <v>50</v>
      </c>
      <c r="D205" s="10">
        <f t="shared" si="6"/>
        <v>1</v>
      </c>
      <c r="E205" s="4">
        <f t="shared" si="7"/>
        <v>0</v>
      </c>
      <c r="F205" s="4" t="s">
        <v>0</v>
      </c>
      <c r="G205">
        <v>558</v>
      </c>
      <c r="H205" s="4">
        <v>0</v>
      </c>
    </row>
    <row r="206" spans="1:8" x14ac:dyDescent="0.4">
      <c r="A206" s="4">
        <v>200</v>
      </c>
      <c r="B206" s="4">
        <v>68</v>
      </c>
      <c r="C206" s="4">
        <v>75</v>
      </c>
      <c r="D206" s="10">
        <f t="shared" si="6"/>
        <v>1</v>
      </c>
      <c r="E206" s="4">
        <f t="shared" si="7"/>
        <v>0</v>
      </c>
      <c r="F206" s="4" t="s">
        <v>0</v>
      </c>
      <c r="G206">
        <v>800</v>
      </c>
      <c r="H206" s="4">
        <v>0</v>
      </c>
    </row>
    <row r="207" spans="1:8" x14ac:dyDescent="0.4">
      <c r="A207" s="4"/>
      <c r="B207" s="4"/>
      <c r="C207" s="4"/>
      <c r="D207" s="10"/>
      <c r="E207" s="4"/>
      <c r="F207" s="4"/>
      <c r="H207" s="4"/>
    </row>
    <row r="208" spans="1:8" x14ac:dyDescent="0.4">
      <c r="A208" s="4"/>
      <c r="B208" s="4"/>
      <c r="C208" s="4"/>
      <c r="D208" s="10"/>
      <c r="E208" s="4"/>
      <c r="F208" s="4"/>
      <c r="H208" s="4"/>
    </row>
    <row r="209" spans="1:8" x14ac:dyDescent="0.4">
      <c r="A209" s="4"/>
      <c r="B209" s="4"/>
      <c r="C209" s="4"/>
      <c r="D209" s="10"/>
      <c r="E209" s="4"/>
      <c r="F209" s="4"/>
      <c r="H209" s="4"/>
    </row>
    <row r="210" spans="1:8" x14ac:dyDescent="0.4">
      <c r="A210" s="4"/>
      <c r="B210" s="4"/>
      <c r="C210" s="4"/>
      <c r="D210" s="10"/>
      <c r="E210" s="4"/>
      <c r="F210" s="4"/>
      <c r="H210" s="4"/>
    </row>
    <row r="211" spans="1:8" x14ac:dyDescent="0.4">
      <c r="A211" s="4"/>
      <c r="B211" s="4"/>
      <c r="C211" s="4"/>
      <c r="D211" s="10"/>
      <c r="E211" s="4"/>
      <c r="F211" s="4"/>
      <c r="H211" s="4"/>
    </row>
    <row r="212" spans="1:8" x14ac:dyDescent="0.4">
      <c r="A212" s="4"/>
      <c r="B212" s="4"/>
      <c r="C212" s="4"/>
      <c r="D212" s="10"/>
      <c r="E212" s="4"/>
      <c r="F212" s="4"/>
      <c r="H212" s="4"/>
    </row>
    <row r="213" spans="1:8" x14ac:dyDescent="0.4">
      <c r="A213" s="4"/>
      <c r="B213" s="4"/>
      <c r="C213" s="4"/>
      <c r="D213" s="10"/>
      <c r="E213" s="4"/>
      <c r="F213" s="4"/>
      <c r="H213" s="4"/>
    </row>
    <row r="214" spans="1:8" x14ac:dyDescent="0.4">
      <c r="A214" s="4"/>
      <c r="B214" s="4"/>
      <c r="C214" s="4"/>
      <c r="D214" s="10"/>
      <c r="E214" s="4"/>
      <c r="F214" s="4"/>
      <c r="H214" s="4"/>
    </row>
    <row r="215" spans="1:8" x14ac:dyDescent="0.4">
      <c r="A215" s="4"/>
      <c r="B215" s="4"/>
      <c r="C215" s="4"/>
      <c r="D215" s="10"/>
      <c r="E215" s="4"/>
      <c r="F215" s="4"/>
      <c r="H215" s="4"/>
    </row>
    <row r="216" spans="1:8" x14ac:dyDescent="0.4">
      <c r="A216" s="4"/>
      <c r="B216" s="4"/>
      <c r="C216" s="4"/>
      <c r="D216" s="10"/>
      <c r="E216" s="4"/>
      <c r="F216" s="4"/>
      <c r="H2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TOBIT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 Bonilla</dc:creator>
  <cp:lastModifiedBy>Minor Bonilla</cp:lastModifiedBy>
  <dcterms:created xsi:type="dcterms:W3CDTF">2025-02-18T17:51:12Z</dcterms:created>
  <dcterms:modified xsi:type="dcterms:W3CDTF">2026-01-09T00:42:46Z</dcterms:modified>
</cp:coreProperties>
</file>